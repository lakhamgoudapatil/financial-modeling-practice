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0615C7-04E4-4825-92D8-9EF3D70FCF1C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Raw Data" sheetId="2" r:id="rId1"/>
    <sheet name="Schedules" sheetId="3" r:id="rId2"/>
    <sheet name="Income Statement" sheetId="4" r:id="rId3"/>
    <sheet name="Balance Sheet" sheetId="5" r:id="rId4"/>
    <sheet name="Cash Flow Statement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6" l="1"/>
  <c r="C25" i="5"/>
  <c r="D25" i="5"/>
  <c r="E25" i="5"/>
  <c r="F25" i="5"/>
  <c r="G25" i="5"/>
  <c r="B25" i="5"/>
  <c r="B6" i="4"/>
  <c r="I6" i="4"/>
  <c r="B26" i="3"/>
  <c r="C26" i="3"/>
  <c r="D26" i="3"/>
  <c r="E26" i="3"/>
  <c r="F26" i="3"/>
  <c r="B27" i="3"/>
  <c r="C27" i="3"/>
  <c r="D27" i="3"/>
  <c r="E27" i="3"/>
  <c r="F27" i="3"/>
  <c r="B39" i="2"/>
  <c r="B24" i="5" s="1"/>
  <c r="B38" i="2"/>
  <c r="B23" i="5" s="1"/>
  <c r="B37" i="2"/>
  <c r="B22" i="5" s="1"/>
  <c r="B36" i="2"/>
  <c r="B21" i="5" s="1"/>
  <c r="C21" i="5" s="1"/>
  <c r="D21" i="5" s="1"/>
  <c r="E21" i="5" s="1"/>
  <c r="F21" i="5" s="1"/>
  <c r="B35" i="2"/>
  <c r="B20" i="5" s="1"/>
  <c r="B34" i="2"/>
  <c r="B19" i="5" s="1"/>
  <c r="C19" i="5" s="1"/>
  <c r="D19" i="5" s="1"/>
  <c r="E19" i="5" s="1"/>
  <c r="F19" i="5" s="1"/>
  <c r="G19" i="5" s="1"/>
  <c r="B33" i="2"/>
  <c r="B18" i="5" s="1"/>
  <c r="B32" i="2"/>
  <c r="B17" i="5" s="1"/>
  <c r="C17" i="5" s="1"/>
  <c r="D17" i="5" s="1"/>
  <c r="E17" i="5" s="1"/>
  <c r="F17" i="5" s="1"/>
  <c r="G17" i="5" s="1"/>
  <c r="B31" i="2"/>
  <c r="B16" i="5" s="1"/>
  <c r="B30" i="2"/>
  <c r="B15" i="5" s="1"/>
  <c r="B29" i="2"/>
  <c r="B14" i="5" s="1"/>
  <c r="B28" i="2"/>
  <c r="B13" i="5" s="1"/>
  <c r="B27" i="2"/>
  <c r="B12" i="5" s="1"/>
  <c r="B18" i="3" s="1"/>
  <c r="B26" i="2"/>
  <c r="B11" i="5" s="1"/>
  <c r="B15" i="3" s="1"/>
  <c r="B25" i="2"/>
  <c r="B10" i="5" s="1"/>
  <c r="B24" i="2"/>
  <c r="B9" i="5" s="1"/>
  <c r="C9" i="5" s="1"/>
  <c r="D9" i="5" s="1"/>
  <c r="E9" i="5" s="1"/>
  <c r="F9" i="5" s="1"/>
  <c r="G9" i="5" s="1"/>
  <c r="B23" i="2"/>
  <c r="B8" i="5" s="1"/>
  <c r="B22" i="2"/>
  <c r="B7" i="5" s="1"/>
  <c r="B21" i="2"/>
  <c r="B6" i="5" s="1"/>
  <c r="B18" i="6" s="1"/>
  <c r="B17" i="2"/>
  <c r="B16" i="4" s="1"/>
  <c r="C17" i="2"/>
  <c r="C16" i="4" s="1"/>
  <c r="D17" i="2"/>
  <c r="D16" i="4" s="1"/>
  <c r="B16" i="2"/>
  <c r="B15" i="4" s="1"/>
  <c r="C16" i="2"/>
  <c r="C15" i="4" s="1"/>
  <c r="D16" i="2"/>
  <c r="D15" i="4" s="1"/>
  <c r="B15" i="2"/>
  <c r="B14" i="4" s="1"/>
  <c r="C15" i="2"/>
  <c r="C14" i="4" s="1"/>
  <c r="D15" i="2"/>
  <c r="D14" i="4" s="1"/>
  <c r="B14" i="2"/>
  <c r="B13" i="4" s="1"/>
  <c r="C14" i="2"/>
  <c r="C13" i="4" s="1"/>
  <c r="D14" i="2"/>
  <c r="D13" i="4" s="1"/>
  <c r="B13" i="2"/>
  <c r="B12" i="4" s="1"/>
  <c r="C13" i="2"/>
  <c r="C12" i="4" s="1"/>
  <c r="D13" i="2"/>
  <c r="D12" i="4" s="1"/>
  <c r="B12" i="2"/>
  <c r="B11" i="4" s="1"/>
  <c r="C12" i="2"/>
  <c r="C11" i="4" s="1"/>
  <c r="D12" i="2"/>
  <c r="D11" i="4" s="1"/>
  <c r="B11" i="2"/>
  <c r="B10" i="4" s="1"/>
  <c r="C11" i="2"/>
  <c r="C10" i="4" s="1"/>
  <c r="D11" i="2"/>
  <c r="D10" i="4" s="1"/>
  <c r="B10" i="2"/>
  <c r="B9" i="4" s="1"/>
  <c r="C10" i="2"/>
  <c r="C9" i="4" s="1"/>
  <c r="D10" i="2"/>
  <c r="D9" i="4" s="1"/>
  <c r="B9" i="2"/>
  <c r="B8" i="4" s="1"/>
  <c r="C9" i="2"/>
  <c r="C8" i="4" s="1"/>
  <c r="D9" i="2"/>
  <c r="D8" i="4" s="1"/>
  <c r="B8" i="2"/>
  <c r="B7" i="4" s="1"/>
  <c r="C8" i="2"/>
  <c r="C7" i="4" s="1"/>
  <c r="D8" i="2"/>
  <c r="D7" i="4" s="1"/>
  <c r="B7" i="2"/>
  <c r="C7" i="2"/>
  <c r="C6" i="4" s="1"/>
  <c r="D7" i="2"/>
  <c r="D6" i="4" s="1"/>
  <c r="E6" i="4" s="1"/>
  <c r="B15" i="6" l="1"/>
  <c r="C15" i="6"/>
  <c r="D15" i="6"/>
  <c r="E15" i="6"/>
  <c r="F15" i="6"/>
  <c r="C16" i="5"/>
  <c r="D16" i="5" s="1"/>
  <c r="E16" i="5" s="1"/>
  <c r="B25" i="3"/>
  <c r="B7" i="3"/>
  <c r="B9" i="3" s="1"/>
  <c r="C7" i="5" s="1"/>
  <c r="B8" i="6" s="1"/>
  <c r="B16" i="3"/>
  <c r="G21" i="5"/>
  <c r="F6" i="4"/>
  <c r="E7" i="4"/>
  <c r="E9" i="4"/>
  <c r="E11" i="4"/>
  <c r="B29" i="3" l="1"/>
  <c r="E13" i="4" s="1"/>
  <c r="B28" i="3"/>
  <c r="C25" i="3" s="1"/>
  <c r="B12" i="6"/>
  <c r="B13" i="6" s="1"/>
  <c r="B17" i="3"/>
  <c r="C16" i="3"/>
  <c r="C12" i="6" s="1"/>
  <c r="C13" i="6" s="1"/>
  <c r="C7" i="3"/>
  <c r="C9" i="3" s="1"/>
  <c r="D7" i="5" s="1"/>
  <c r="C8" i="6" s="1"/>
  <c r="E8" i="4"/>
  <c r="E10" i="4" s="1"/>
  <c r="E12" i="4" s="1"/>
  <c r="B8" i="3"/>
  <c r="B7" i="6"/>
  <c r="B19" i="3"/>
  <c r="B20" i="3" s="1"/>
  <c r="F16" i="5"/>
  <c r="F11" i="4"/>
  <c r="F9" i="4"/>
  <c r="F7" i="4"/>
  <c r="G6" i="4"/>
  <c r="E14" i="4" l="1"/>
  <c r="E15" i="4" s="1"/>
  <c r="E16" i="4" s="1"/>
  <c r="B6" i="6" s="1"/>
  <c r="C29" i="3"/>
  <c r="F13" i="4" s="1"/>
  <c r="C28" i="3"/>
  <c r="D25" i="3" s="1"/>
  <c r="C15" i="3"/>
  <c r="C17" i="3" s="1"/>
  <c r="B21" i="3"/>
  <c r="C11" i="5"/>
  <c r="B11" i="3"/>
  <c r="C15" i="5" s="1"/>
  <c r="B10" i="3"/>
  <c r="C8" i="5" s="1"/>
  <c r="B9" i="6" s="1"/>
  <c r="C12" i="5"/>
  <c r="C18" i="3"/>
  <c r="C7" i="6"/>
  <c r="C19" i="3"/>
  <c r="F8" i="4"/>
  <c r="F10" i="4" s="1"/>
  <c r="F12" i="4" s="1"/>
  <c r="C8" i="3"/>
  <c r="D16" i="3"/>
  <c r="D12" i="6" s="1"/>
  <c r="D13" i="6" s="1"/>
  <c r="D7" i="3"/>
  <c r="D9" i="3" s="1"/>
  <c r="E7" i="5" s="1"/>
  <c r="D8" i="6" s="1"/>
  <c r="G16" i="5"/>
  <c r="G11" i="4"/>
  <c r="G9" i="4"/>
  <c r="G7" i="4"/>
  <c r="H6" i="4"/>
  <c r="D29" i="3" l="1"/>
  <c r="G13" i="4" s="1"/>
  <c r="D28" i="3"/>
  <c r="E25" i="3" s="1"/>
  <c r="F14" i="4"/>
  <c r="F15" i="4" s="1"/>
  <c r="F16" i="4" s="1"/>
  <c r="C6" i="6" s="1"/>
  <c r="C14" i="6" s="1"/>
  <c r="C16" i="6" s="1"/>
  <c r="D15" i="3"/>
  <c r="D17" i="3" s="1"/>
  <c r="D11" i="5"/>
  <c r="B10" i="6"/>
  <c r="B11" i="6" s="1"/>
  <c r="C18" i="5"/>
  <c r="C20" i="5" s="1"/>
  <c r="B14" i="6"/>
  <c r="C11" i="3"/>
  <c r="D15" i="5" s="1"/>
  <c r="C10" i="3"/>
  <c r="D8" i="5" s="1"/>
  <c r="C9" i="6" s="1"/>
  <c r="C20" i="3"/>
  <c r="C21" i="3" s="1"/>
  <c r="C13" i="5"/>
  <c r="D7" i="6"/>
  <c r="D19" i="3"/>
  <c r="G8" i="4"/>
  <c r="G10" i="4" s="1"/>
  <c r="G12" i="4" s="1"/>
  <c r="D8" i="3"/>
  <c r="E16" i="3"/>
  <c r="E12" i="6" s="1"/>
  <c r="E13" i="6" s="1"/>
  <c r="E7" i="3"/>
  <c r="E9" i="3" s="1"/>
  <c r="F7" i="5" s="1"/>
  <c r="E8" i="6" s="1"/>
  <c r="H11" i="4"/>
  <c r="H9" i="4"/>
  <c r="H7" i="4"/>
  <c r="G14" i="4" l="1"/>
  <c r="G15" i="4" s="1"/>
  <c r="G16" i="4" s="1"/>
  <c r="D6" i="6" s="1"/>
  <c r="D14" i="6" s="1"/>
  <c r="D16" i="6" s="1"/>
  <c r="E28" i="3"/>
  <c r="F25" i="3" s="1"/>
  <c r="E29" i="3"/>
  <c r="H13" i="4" s="1"/>
  <c r="E15" i="3"/>
  <c r="E17" i="3" s="1"/>
  <c r="E11" i="5"/>
  <c r="C22" i="5"/>
  <c r="B16" i="6"/>
  <c r="B17" i="6" s="1"/>
  <c r="B19" i="6" s="1"/>
  <c r="C6" i="5" s="1"/>
  <c r="D18" i="5"/>
  <c r="D20" i="5" s="1"/>
  <c r="C10" i="6"/>
  <c r="C11" i="6" s="1"/>
  <c r="C17" i="6" s="1"/>
  <c r="D18" i="3"/>
  <c r="D20" i="3" s="1"/>
  <c r="D21" i="3" s="1"/>
  <c r="D12" i="5"/>
  <c r="D13" i="5" s="1"/>
  <c r="D11" i="3"/>
  <c r="E15" i="5" s="1"/>
  <c r="D10" i="3"/>
  <c r="E8" i="5" s="1"/>
  <c r="D9" i="6" s="1"/>
  <c r="E7" i="6"/>
  <c r="E19" i="3"/>
  <c r="H8" i="4"/>
  <c r="H10" i="4" s="1"/>
  <c r="H12" i="4" s="1"/>
  <c r="E8" i="3"/>
  <c r="F16" i="3"/>
  <c r="F12" i="6" s="1"/>
  <c r="F13" i="6" s="1"/>
  <c r="F7" i="3"/>
  <c r="F9" i="3" s="1"/>
  <c r="G7" i="5" s="1"/>
  <c r="F8" i="6" s="1"/>
  <c r="I11" i="4"/>
  <c r="I9" i="4"/>
  <c r="I7" i="4"/>
  <c r="F28" i="3" l="1"/>
  <c r="F29" i="3"/>
  <c r="I13" i="4" s="1"/>
  <c r="H14" i="4"/>
  <c r="H15" i="4" s="1"/>
  <c r="H16" i="4" s="1"/>
  <c r="E6" i="6" s="1"/>
  <c r="E14" i="6" s="1"/>
  <c r="E16" i="6" s="1"/>
  <c r="F15" i="3"/>
  <c r="F17" i="3" s="1"/>
  <c r="F11" i="5"/>
  <c r="D22" i="5"/>
  <c r="C23" i="5"/>
  <c r="C24" i="5" s="1"/>
  <c r="E12" i="5"/>
  <c r="E13" i="5" s="1"/>
  <c r="E18" i="3"/>
  <c r="E20" i="3" s="1"/>
  <c r="E21" i="3" s="1"/>
  <c r="E18" i="5"/>
  <c r="E20" i="5" s="1"/>
  <c r="D10" i="6"/>
  <c r="D11" i="6" s="1"/>
  <c r="D17" i="6" s="1"/>
  <c r="E11" i="3"/>
  <c r="F15" i="5" s="1"/>
  <c r="E10" i="3"/>
  <c r="F8" i="5" s="1"/>
  <c r="E9" i="6" s="1"/>
  <c r="C10" i="5"/>
  <c r="C14" i="5" s="1"/>
  <c r="C18" i="6"/>
  <c r="C19" i="6" s="1"/>
  <c r="D6" i="5" s="1"/>
  <c r="F7" i="6"/>
  <c r="F19" i="3"/>
  <c r="I8" i="4"/>
  <c r="I10" i="4" s="1"/>
  <c r="I12" i="4" s="1"/>
  <c r="F8" i="3"/>
  <c r="I14" i="4" l="1"/>
  <c r="I15" i="4" s="1"/>
  <c r="I16" i="4" s="1"/>
  <c r="F6" i="6" s="1"/>
  <c r="F14" i="6" s="1"/>
  <c r="F16" i="6" s="1"/>
  <c r="G11" i="5"/>
  <c r="E22" i="5"/>
  <c r="D23" i="5"/>
  <c r="D24" i="5" s="1"/>
  <c r="F12" i="5"/>
  <c r="F13" i="5" s="1"/>
  <c r="F18" i="3"/>
  <c r="F20" i="3" s="1"/>
  <c r="F18" i="5"/>
  <c r="F20" i="5" s="1"/>
  <c r="E10" i="6"/>
  <c r="E11" i="6" s="1"/>
  <c r="E17" i="6" s="1"/>
  <c r="D18" i="6"/>
  <c r="D19" i="6" s="1"/>
  <c r="E6" i="5" s="1"/>
  <c r="D10" i="5"/>
  <c r="D14" i="5" s="1"/>
  <c r="F11" i="3"/>
  <c r="G15" i="5" s="1"/>
  <c r="F10" i="3"/>
  <c r="G8" i="5" s="1"/>
  <c r="F9" i="6" s="1"/>
  <c r="F22" i="5" l="1"/>
  <c r="E23" i="5"/>
  <c r="E24" i="5" s="1"/>
  <c r="E10" i="5"/>
  <c r="E14" i="5" s="1"/>
  <c r="E18" i="6"/>
  <c r="E19" i="6" s="1"/>
  <c r="F6" i="5" s="1"/>
  <c r="G18" i="5"/>
  <c r="G20" i="5" s="1"/>
  <c r="F10" i="6"/>
  <c r="F17" i="6" s="1"/>
  <c r="G12" i="5"/>
  <c r="G13" i="5" s="1"/>
  <c r="F21" i="3"/>
  <c r="G22" i="5" l="1"/>
  <c r="G23" i="5" s="1"/>
  <c r="G24" i="5" s="1"/>
  <c r="F23" i="5"/>
  <c r="F24" i="5" s="1"/>
  <c r="F18" i="6"/>
  <c r="F19" i="6" s="1"/>
  <c r="G6" i="5" s="1"/>
  <c r="G10" i="5" s="1"/>
  <c r="G14" i="5" s="1"/>
  <c r="F10" i="5"/>
  <c r="F1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8" authorId="0" shapeId="0" xr:uid="{79888C4F-2803-4EA0-A48B-8263A026FB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Source: Wise USD/INR currency converter | As-of/accessed: 2026-09-15 | Ref: 1 USD = 95.87 INR | Notes: Used to convert USD millions into INR millions.</t>
        </r>
      </text>
    </comment>
  </commentList>
</comments>
</file>

<file path=xl/sharedStrings.xml><?xml version="1.0" encoding="utf-8"?>
<sst xmlns="http://schemas.openxmlformats.org/spreadsheetml/2006/main" count="153" uniqueCount="93">
  <si>
    <t>A. Historical Income Statement</t>
  </si>
  <si>
    <t>FY2023</t>
  </si>
  <si>
    <t>FY2024</t>
  </si>
  <si>
    <t>FY2025</t>
  </si>
  <si>
    <t>Revenue</t>
  </si>
  <si>
    <t>COGS</t>
  </si>
  <si>
    <t>Gross Profit</t>
  </si>
  <si>
    <t>SG&amp;A</t>
  </si>
  <si>
    <t>EBITDA</t>
  </si>
  <si>
    <t>D&amp;A</t>
  </si>
  <si>
    <t>EBIT</t>
  </si>
  <si>
    <t>Interest Expense</t>
  </si>
  <si>
    <t>EBT</t>
  </si>
  <si>
    <t>Tax (25%)</t>
  </si>
  <si>
    <t>Net Income</t>
  </si>
  <si>
    <t>Cash</t>
  </si>
  <si>
    <t>Accounts Receivable</t>
  </si>
  <si>
    <t>Inventory</t>
  </si>
  <si>
    <t>Other Current Assets</t>
  </si>
  <si>
    <t>Total Current Assets</t>
  </si>
  <si>
    <t>PP&amp;E, Gross</t>
  </si>
  <si>
    <t>Accumulated Depreciation</t>
  </si>
  <si>
    <t>PP&amp;E, Net</t>
  </si>
  <si>
    <t>Total Assets</t>
  </si>
  <si>
    <t>Accounts Payable</t>
  </si>
  <si>
    <t>Short-term Debt</t>
  </si>
  <si>
    <t>Other Current Liabilities</t>
  </si>
  <si>
    <t>Total Current Liabilities</t>
  </si>
  <si>
    <t>Long-term Debt</t>
  </si>
  <si>
    <t>Total Liabilities</t>
  </si>
  <si>
    <t>Common Stock</t>
  </si>
  <si>
    <t>Retained Earnings</t>
  </si>
  <si>
    <t>Total Equity</t>
  </si>
  <si>
    <t>Total Liabilities + Equity (check)</t>
  </si>
  <si>
    <t>C. Projection Assumptions (FY2026E - FY2030E)</t>
  </si>
  <si>
    <t>Revenue Growth %</t>
  </si>
  <si>
    <t>COGS % of Revenue</t>
  </si>
  <si>
    <t>SG&amp;A % of Revenue</t>
  </si>
  <si>
    <t>D&amp;A % of Revenue</t>
  </si>
  <si>
    <t>CapEx % of Revenue</t>
  </si>
  <si>
    <t>Tax Rate</t>
  </si>
  <si>
    <t>Interest Rate on Debt (applied to opening balance)</t>
  </si>
  <si>
    <t>Days Sales Outstanding (DSO)</t>
  </si>
  <si>
    <t>Days Inventory Outstanding (DIO)</t>
  </si>
  <si>
    <t>Days Payable Outstanding (DPO)</t>
  </si>
  <si>
    <t>Dividend Payout Ratio (% of Net Income)</t>
  </si>
  <si>
    <t>1. WORKING CAPITAL SCHEDULE</t>
  </si>
  <si>
    <t>FY2026E</t>
  </si>
  <si>
    <t>FY2027E</t>
  </si>
  <si>
    <t>FY2028E</t>
  </si>
  <si>
    <t>FY2029E</t>
  </si>
  <si>
    <t>FY2030E</t>
  </si>
  <si>
    <t>Revenue (link from Income Statement)</t>
  </si>
  <si>
    <t>COGS (link from Income Statement)</t>
  </si>
  <si>
    <t>Accounts Receivable = Revenue/365 x DSO</t>
  </si>
  <si>
    <t>Inventory = COGS/365 x DIO</t>
  </si>
  <si>
    <t>Accounts Payable = COGS/365 x DPO</t>
  </si>
  <si>
    <t>2. PP&amp;E ROLL-FORWARD</t>
  </si>
  <si>
    <t>Beginning PP&amp;E, Gross</t>
  </si>
  <si>
    <t>Add: CapEx</t>
  </si>
  <si>
    <t>Ending PP&amp;E, Gross</t>
  </si>
  <si>
    <t>Beginning Accumulated Depreciation</t>
  </si>
  <si>
    <t>Add: D&amp;A</t>
  </si>
  <si>
    <t>Ending Accumulated Depreciation</t>
  </si>
  <si>
    <t>Ending PP&amp;E, Net</t>
  </si>
  <si>
    <t>3. DEBT SCHEDULE</t>
  </si>
  <si>
    <t>Beginning Total Debt (ST + LT)</t>
  </si>
  <si>
    <t>Add: New Debt Issued</t>
  </si>
  <si>
    <t>Less: Debt Repaid</t>
  </si>
  <si>
    <t>Ending Total Debt</t>
  </si>
  <si>
    <t>Interest Expense = Beginning Debt x Rate</t>
  </si>
  <si>
    <t>Tax</t>
  </si>
  <si>
    <t>Total Liabilities + Equity</t>
  </si>
  <si>
    <t>Check (Assets - (Liab + Equity))</t>
  </si>
  <si>
    <t>Less: Increase in Accounts Receivable</t>
  </si>
  <si>
    <t>Less: Increase in Inventory</t>
  </si>
  <si>
    <t>Add: Increase in Accounts Payable</t>
  </si>
  <si>
    <t>Cash Flow from Operations</t>
  </si>
  <si>
    <t>Less: CapEx</t>
  </si>
  <si>
    <t>Cash Flow from Investing</t>
  </si>
  <si>
    <t>Less: Dividends Paid</t>
  </si>
  <si>
    <t>Add/(Less): Debt Issued/(Repaid)</t>
  </si>
  <si>
    <t>Cash Flow from Financing</t>
  </si>
  <si>
    <t>Net Change in Cash</t>
  </si>
  <si>
    <t>Add: Beginning Cash</t>
  </si>
  <si>
    <t>Ending Cash (should tie to Balance Sheet)</t>
  </si>
  <si>
    <t>USD/INR FX Rate</t>
  </si>
  <si>
    <t>Cash Flow Statement — projected (₹ millions)</t>
  </si>
  <si>
    <t>Supporting Schedules — projected (₹ millions)</t>
  </si>
  <si>
    <t>Sample Retail Co - Historicals &amp; Assumptions (₹ millions)</t>
  </si>
  <si>
    <t>B. Opening Balance Sheet - as of FY 2025 year-end</t>
  </si>
  <si>
    <t>Income Statement - historical + projection (₹ millions)</t>
  </si>
  <si>
    <t>Balance Sheet - FY2025 opening + projection (₹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</si>
</sst>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0.0000"/>
    <numFmt numFmtId="167" formatCode="\₹#,##0.0;[Red]\(\₹#,##0.0\);\-"/>
  </numFmts>
  <fonts count="11" x14ac:knownFonts="1"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color rgb="FF80808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4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3366"/>
      </patternFill>
    </fill>
    <fill>
      <patternFill patternType="solid">
        <fgColor rgb="FF00B0F0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33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rgb="FF0033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rgb="FF003366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3" borderId="2" xfId="0" applyFont="1" applyFill="1" applyBorder="1"/>
    <xf numFmtId="0" fontId="8" fillId="0" borderId="0" xfId="0" applyFont="1"/>
    <xf numFmtId="0" fontId="7" fillId="3" borderId="2" xfId="0" applyFont="1" applyFill="1" applyBorder="1"/>
    <xf numFmtId="0" fontId="9" fillId="3" borderId="0" xfId="0" applyFont="1" applyFill="1"/>
    <xf numFmtId="0" fontId="6" fillId="3" borderId="0" xfId="0" applyFont="1" applyFill="1"/>
    <xf numFmtId="167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165" fontId="6" fillId="4" borderId="2" xfId="0" applyNumberFormat="1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/>
    </xf>
    <xf numFmtId="167" fontId="6" fillId="5" borderId="2" xfId="0" applyNumberFormat="1" applyFont="1" applyFill="1" applyBorder="1" applyAlignment="1">
      <alignment horizontal="center"/>
    </xf>
    <xf numFmtId="0" fontId="7" fillId="5" borderId="2" xfId="0" applyFont="1" applyFill="1" applyBorder="1"/>
    <xf numFmtId="0" fontId="6" fillId="5" borderId="2" xfId="0" applyFont="1" applyFill="1" applyBorder="1"/>
    <xf numFmtId="165" fontId="6" fillId="7" borderId="2" xfId="0" applyNumberFormat="1" applyFont="1" applyFill="1" applyBorder="1" applyAlignment="1">
      <alignment horizontal="center"/>
    </xf>
    <xf numFmtId="1" fontId="6" fillId="7" borderId="2" xfId="0" applyNumberFormat="1" applyFont="1" applyFill="1" applyBorder="1" applyAlignment="1">
      <alignment horizontal="center"/>
    </xf>
    <xf numFmtId="0" fontId="10" fillId="6" borderId="0" xfId="0" applyFont="1" applyFill="1"/>
    <xf numFmtId="0" fontId="9" fillId="5" borderId="0" xfId="0" applyFont="1" applyFill="1"/>
    <xf numFmtId="166" fontId="6" fillId="5" borderId="0" xfId="0" applyNumberFormat="1" applyFont="1" applyFill="1"/>
    <xf numFmtId="0" fontId="8" fillId="3" borderId="0" xfId="0" applyFont="1" applyFill="1"/>
    <xf numFmtId="0" fontId="7" fillId="3" borderId="0" xfId="0" applyFont="1" applyFill="1"/>
    <xf numFmtId="167" fontId="6" fillId="3" borderId="1" xfId="0" applyNumberFormat="1" applyFont="1" applyFill="1" applyBorder="1"/>
    <xf numFmtId="167" fontId="6" fillId="3" borderId="0" xfId="0" applyNumberFormat="1" applyFont="1" applyFill="1"/>
    <xf numFmtId="167" fontId="6" fillId="3" borderId="2" xfId="0" applyNumberFormat="1" applyFont="1" applyFill="1" applyBorder="1" applyAlignment="1">
      <alignment horizontal="center"/>
    </xf>
    <xf numFmtId="0" fontId="7" fillId="8" borderId="2" xfId="0" applyFont="1" applyFill="1" applyBorder="1"/>
    <xf numFmtId="0" fontId="7" fillId="9" borderId="2" xfId="0" applyFont="1" applyFill="1" applyBorder="1" applyAlignment="1">
      <alignment horizontal="center"/>
    </xf>
    <xf numFmtId="167" fontId="7" fillId="8" borderId="2" xfId="0" applyNumberFormat="1" applyFont="1" applyFill="1" applyBorder="1" applyAlignment="1">
      <alignment horizontal="center"/>
    </xf>
    <xf numFmtId="0" fontId="10" fillId="9" borderId="0" xfId="0" applyFont="1" applyFill="1"/>
    <xf numFmtId="0" fontId="6" fillId="10" borderId="2" xfId="0" applyFont="1" applyFill="1" applyBorder="1"/>
    <xf numFmtId="167" fontId="6" fillId="10" borderId="2" xfId="0" applyNumberFormat="1" applyFont="1" applyFill="1" applyBorder="1" applyAlignment="1">
      <alignment horizontal="center"/>
    </xf>
    <xf numFmtId="0" fontId="3" fillId="11" borderId="0" xfId="0" applyFont="1" applyFill="1"/>
    <xf numFmtId="0" fontId="7" fillId="11" borderId="2" xfId="0" applyFont="1" applyFill="1" applyBorder="1" applyAlignment="1">
      <alignment horizontal="center"/>
    </xf>
    <xf numFmtId="0" fontId="6" fillId="12" borderId="2" xfId="0" applyFont="1" applyFill="1" applyBorder="1"/>
    <xf numFmtId="167" fontId="6" fillId="12" borderId="2" xfId="0" applyNumberFormat="1" applyFont="1" applyFill="1" applyBorder="1" applyAlignment="1">
      <alignment horizontal="center"/>
    </xf>
    <xf numFmtId="167" fontId="6" fillId="3" borderId="2" xfId="0" applyNumberFormat="1" applyFont="1" applyFill="1" applyBorder="1"/>
    <xf numFmtId="0" fontId="10" fillId="13" borderId="0" xfId="0" applyFont="1" applyFill="1"/>
    <xf numFmtId="0" fontId="7" fillId="13" borderId="2" xfId="0" applyFont="1" applyFill="1" applyBorder="1" applyAlignment="1">
      <alignment horizontal="center"/>
    </xf>
    <xf numFmtId="0" fontId="7" fillId="14" borderId="2" xfId="0" applyFont="1" applyFill="1" applyBorder="1"/>
    <xf numFmtId="167" fontId="7" fillId="14" borderId="2" xfId="0" applyNumberFormat="1" applyFont="1" applyFill="1" applyBorder="1"/>
    <xf numFmtId="167" fontId="7" fillId="2" borderId="2" xfId="0" applyNumberFormat="1" applyFont="1" applyFill="1" applyBorder="1"/>
    <xf numFmtId="0" fontId="10" fillId="15" borderId="0" xfId="0" applyFont="1" applyFill="1"/>
    <xf numFmtId="0" fontId="7" fillId="15" borderId="1" xfId="0" applyFont="1" applyFill="1" applyBorder="1" applyAlignment="1">
      <alignment horizontal="center"/>
    </xf>
    <xf numFmtId="0" fontId="7" fillId="16" borderId="0" xfId="0" applyFont="1" applyFill="1"/>
    <xf numFmtId="167" fontId="6" fillId="16" borderId="1" xfId="0" applyNumberFormat="1" applyFont="1" applyFill="1" applyBorder="1"/>
    <xf numFmtId="167" fontId="7" fillId="1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  <wetp:taskpane dockstate="right" visibility="0" width="438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83F1393-3FFE-4C04-9149-AE3B66CF99A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ab372b8-364a-44f8-84d2-d34a92cf327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5194AE-5E54-4CF4-9E86-C101F82FD25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uT4yFT0GD5-7VskvwbSCh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55AF6D5-DAF7-48AC-B82D-8C5542AA989E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157ce47d-d3da-429b-bb3b-486c1a51e3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showGridLines="0" topLeftCell="A48" zoomScaleNormal="100" workbookViewId="0">
      <selection activeCell="F58" sqref="F58"/>
    </sheetView>
  </sheetViews>
  <sheetFormatPr defaultColWidth="8.6640625" defaultRowHeight="15.6" x14ac:dyDescent="0.3"/>
  <cols>
    <col min="1" max="1" width="50.77734375" style="3" bestFit="1" customWidth="1"/>
    <col min="2" max="6" width="14" style="3" customWidth="1"/>
    <col min="7" max="16384" width="8.6640625" style="3"/>
  </cols>
  <sheetData>
    <row r="1" spans="1:6" ht="21.75" customHeight="1" x14ac:dyDescent="0.3">
      <c r="A1" s="22" t="s">
        <v>89</v>
      </c>
      <c r="B1" s="22"/>
      <c r="C1" s="22"/>
      <c r="D1" s="22"/>
      <c r="E1" s="22"/>
      <c r="F1" s="22"/>
    </row>
    <row r="3" spans="1:6" x14ac:dyDescent="0.3">
      <c r="A3" s="6"/>
    </row>
    <row r="6" spans="1:6" x14ac:dyDescent="0.3">
      <c r="A6" s="14" t="s">
        <v>0</v>
      </c>
      <c r="B6" s="15" t="s">
        <v>1</v>
      </c>
      <c r="C6" s="15" t="s">
        <v>2</v>
      </c>
      <c r="D6" s="15" t="s">
        <v>3</v>
      </c>
    </row>
    <row r="7" spans="1:6" x14ac:dyDescent="0.3">
      <c r="A7" s="11" t="s">
        <v>4</v>
      </c>
      <c r="B7" s="10">
        <f>5000*$B$58</f>
        <v>479350</v>
      </c>
      <c r="C7" s="10">
        <f>5600*$B$58</f>
        <v>536872</v>
      </c>
      <c r="D7" s="10">
        <f>6270*$B$58</f>
        <v>601104.9</v>
      </c>
    </row>
    <row r="8" spans="1:6" x14ac:dyDescent="0.3">
      <c r="A8" s="16" t="s">
        <v>5</v>
      </c>
      <c r="B8" s="17">
        <f>3000*$B$58</f>
        <v>287610</v>
      </c>
      <c r="C8" s="17">
        <f>3360*$B$58</f>
        <v>322123.2</v>
      </c>
      <c r="D8" s="17">
        <f>3762*$B$58</f>
        <v>360662.94</v>
      </c>
    </row>
    <row r="9" spans="1:6" x14ac:dyDescent="0.3">
      <c r="A9" s="11" t="s">
        <v>6</v>
      </c>
      <c r="B9" s="10">
        <f>2000*$B$58</f>
        <v>191740</v>
      </c>
      <c r="C9" s="10">
        <f>2240*$B$58</f>
        <v>214748.80000000002</v>
      </c>
      <c r="D9" s="10">
        <f>2508*$B$58</f>
        <v>240441.96000000002</v>
      </c>
    </row>
    <row r="10" spans="1:6" x14ac:dyDescent="0.3">
      <c r="A10" s="16" t="s">
        <v>7</v>
      </c>
      <c r="B10" s="17">
        <f>1000*$B$58</f>
        <v>95870</v>
      </c>
      <c r="C10" s="17">
        <f>1120*$B$58</f>
        <v>107374.40000000001</v>
      </c>
      <c r="D10" s="17">
        <f>1254*$B$58</f>
        <v>120220.98000000001</v>
      </c>
    </row>
    <row r="11" spans="1:6" x14ac:dyDescent="0.3">
      <c r="A11" s="11" t="s">
        <v>8</v>
      </c>
      <c r="B11" s="10">
        <f>1000*$B$58</f>
        <v>95870</v>
      </c>
      <c r="C11" s="10">
        <f>1120*$B$58</f>
        <v>107374.40000000001</v>
      </c>
      <c r="D11" s="10">
        <f>1254*$B$58</f>
        <v>120220.98000000001</v>
      </c>
    </row>
    <row r="12" spans="1:6" x14ac:dyDescent="0.3">
      <c r="A12" s="16" t="s">
        <v>9</v>
      </c>
      <c r="B12" s="17">
        <f>150*$B$58</f>
        <v>14380.5</v>
      </c>
      <c r="C12" s="17">
        <f>165*$B$58</f>
        <v>15818.550000000001</v>
      </c>
      <c r="D12" s="17">
        <f>180*$B$58</f>
        <v>17256.600000000002</v>
      </c>
    </row>
    <row r="13" spans="1:6" x14ac:dyDescent="0.3">
      <c r="A13" s="11" t="s">
        <v>10</v>
      </c>
      <c r="B13" s="10">
        <f>850*$B$58</f>
        <v>81489.5</v>
      </c>
      <c r="C13" s="10">
        <f>955*$B$58</f>
        <v>91555.85</v>
      </c>
      <c r="D13" s="10">
        <f>1074*$B$58</f>
        <v>102964.38</v>
      </c>
    </row>
    <row r="14" spans="1:6" x14ac:dyDescent="0.3">
      <c r="A14" s="16" t="s">
        <v>11</v>
      </c>
      <c r="B14" s="17">
        <f>80*$B$58</f>
        <v>7669.6</v>
      </c>
      <c r="C14" s="17">
        <f>85*$B$58</f>
        <v>8148.9500000000007</v>
      </c>
      <c r="D14" s="17">
        <f>90*$B$58</f>
        <v>8628.3000000000011</v>
      </c>
    </row>
    <row r="15" spans="1:6" x14ac:dyDescent="0.3">
      <c r="A15" s="11" t="s">
        <v>12</v>
      </c>
      <c r="B15" s="10">
        <f>770*$B$58</f>
        <v>73819.900000000009</v>
      </c>
      <c r="C15" s="10">
        <f>870*$B$58</f>
        <v>83406.900000000009</v>
      </c>
      <c r="D15" s="10">
        <f>984*$B$58</f>
        <v>94336.08</v>
      </c>
    </row>
    <row r="16" spans="1:6" x14ac:dyDescent="0.3">
      <c r="A16" s="16" t="s">
        <v>13</v>
      </c>
      <c r="B16" s="17">
        <f>192.5*$B$58</f>
        <v>18454.975000000002</v>
      </c>
      <c r="C16" s="17">
        <f>217.5*$B$58</f>
        <v>20851.725000000002</v>
      </c>
      <c r="D16" s="17">
        <f>246*$B$58</f>
        <v>23584.02</v>
      </c>
    </row>
    <row r="17" spans="1:4" x14ac:dyDescent="0.3">
      <c r="A17" s="11" t="s">
        <v>14</v>
      </c>
      <c r="B17" s="10">
        <f>577.5*$B$58</f>
        <v>55364.925000000003</v>
      </c>
      <c r="C17" s="10">
        <f>652.5*$B$58</f>
        <v>62555.175000000003</v>
      </c>
      <c r="D17" s="10">
        <f>738*$B$58</f>
        <v>70752.06</v>
      </c>
    </row>
    <row r="20" spans="1:4" x14ac:dyDescent="0.3">
      <c r="A20" s="18" t="s">
        <v>90</v>
      </c>
      <c r="B20" s="15" t="s">
        <v>3</v>
      </c>
    </row>
    <row r="21" spans="1:4" x14ac:dyDescent="0.3">
      <c r="A21" s="4" t="s">
        <v>15</v>
      </c>
      <c r="B21" s="10">
        <f>450*$B$58</f>
        <v>43141.5</v>
      </c>
    </row>
    <row r="22" spans="1:4" x14ac:dyDescent="0.3">
      <c r="A22" s="4" t="s">
        <v>16</v>
      </c>
      <c r="B22" s="10">
        <f>770*$B$58</f>
        <v>73819.900000000009</v>
      </c>
    </row>
    <row r="23" spans="1:4" x14ac:dyDescent="0.3">
      <c r="A23" s="4" t="s">
        <v>17</v>
      </c>
      <c r="B23" s="10">
        <f>410*$B$58</f>
        <v>39306.700000000004</v>
      </c>
    </row>
    <row r="24" spans="1:4" x14ac:dyDescent="0.3">
      <c r="A24" s="4" t="s">
        <v>18</v>
      </c>
      <c r="B24" s="10">
        <f>120*$B$58</f>
        <v>11504.400000000001</v>
      </c>
    </row>
    <row r="25" spans="1:4" x14ac:dyDescent="0.3">
      <c r="A25" s="18" t="s">
        <v>19</v>
      </c>
      <c r="B25" s="17">
        <f>1750*$B$58</f>
        <v>167772.5</v>
      </c>
    </row>
    <row r="26" spans="1:4" x14ac:dyDescent="0.3">
      <c r="A26" s="4" t="s">
        <v>20</v>
      </c>
      <c r="B26" s="10">
        <f>2800*$B$58</f>
        <v>268436</v>
      </c>
    </row>
    <row r="27" spans="1:4" x14ac:dyDescent="0.3">
      <c r="A27" s="4" t="s">
        <v>21</v>
      </c>
      <c r="B27" s="10">
        <f>900*$B$58</f>
        <v>86283</v>
      </c>
    </row>
    <row r="28" spans="1:4" x14ac:dyDescent="0.3">
      <c r="A28" s="4" t="s">
        <v>22</v>
      </c>
      <c r="B28" s="10">
        <f>1900*$B$58</f>
        <v>182153</v>
      </c>
    </row>
    <row r="29" spans="1:4" x14ac:dyDescent="0.3">
      <c r="A29" s="18" t="s">
        <v>23</v>
      </c>
      <c r="B29" s="17">
        <f>3650*$B$58</f>
        <v>349925.5</v>
      </c>
    </row>
    <row r="30" spans="1:4" x14ac:dyDescent="0.3">
      <c r="A30" s="4" t="s">
        <v>24</v>
      </c>
      <c r="B30" s="10">
        <f>360*$B$58</f>
        <v>34513.200000000004</v>
      </c>
    </row>
    <row r="31" spans="1:4" x14ac:dyDescent="0.3">
      <c r="A31" s="4" t="s">
        <v>25</v>
      </c>
      <c r="B31" s="10">
        <f>200*$B$58</f>
        <v>19174</v>
      </c>
    </row>
    <row r="32" spans="1:4" x14ac:dyDescent="0.3">
      <c r="A32" s="4" t="s">
        <v>26</v>
      </c>
      <c r="B32" s="10">
        <f>150*$B$58</f>
        <v>14380.5</v>
      </c>
    </row>
    <row r="33" spans="1:2" x14ac:dyDescent="0.3">
      <c r="A33" s="18" t="s">
        <v>27</v>
      </c>
      <c r="B33" s="17">
        <f>710*$B$58</f>
        <v>68067.7</v>
      </c>
    </row>
    <row r="34" spans="1:2" x14ac:dyDescent="0.3">
      <c r="A34" s="4" t="s">
        <v>28</v>
      </c>
      <c r="B34" s="10">
        <f>900*$B$58</f>
        <v>86283</v>
      </c>
    </row>
    <row r="35" spans="1:2" x14ac:dyDescent="0.3">
      <c r="A35" s="18" t="s">
        <v>29</v>
      </c>
      <c r="B35" s="17">
        <f>1610*$B$58</f>
        <v>154350.70000000001</v>
      </c>
    </row>
    <row r="36" spans="1:2" x14ac:dyDescent="0.3">
      <c r="A36" s="4" t="s">
        <v>30</v>
      </c>
      <c r="B36" s="10">
        <f>500*$B$58</f>
        <v>47935</v>
      </c>
    </row>
    <row r="37" spans="1:2" x14ac:dyDescent="0.3">
      <c r="A37" s="4" t="s">
        <v>31</v>
      </c>
      <c r="B37" s="10">
        <f>1540*$B$58</f>
        <v>147639.80000000002</v>
      </c>
    </row>
    <row r="38" spans="1:2" x14ac:dyDescent="0.3">
      <c r="A38" s="18" t="s">
        <v>32</v>
      </c>
      <c r="B38" s="17">
        <f>2040*$B$58</f>
        <v>195574.80000000002</v>
      </c>
    </row>
    <row r="39" spans="1:2" x14ac:dyDescent="0.3">
      <c r="A39" s="18" t="s">
        <v>33</v>
      </c>
      <c r="B39" s="17">
        <f>3650*$B$58</f>
        <v>349925.5</v>
      </c>
    </row>
    <row r="41" spans="1:2" x14ac:dyDescent="0.3">
      <c r="A41" s="18" t="s">
        <v>34</v>
      </c>
      <c r="B41" s="19"/>
    </row>
    <row r="42" spans="1:2" x14ac:dyDescent="0.3">
      <c r="A42" s="5" t="s">
        <v>35</v>
      </c>
      <c r="B42" s="12">
        <v>0.12</v>
      </c>
    </row>
    <row r="43" spans="1:2" x14ac:dyDescent="0.3">
      <c r="A43" s="19" t="s">
        <v>36</v>
      </c>
      <c r="B43" s="20">
        <v>0.6</v>
      </c>
    </row>
    <row r="44" spans="1:2" x14ac:dyDescent="0.3">
      <c r="A44" s="5" t="s">
        <v>37</v>
      </c>
      <c r="B44" s="12">
        <v>0.2</v>
      </c>
    </row>
    <row r="45" spans="1:2" x14ac:dyDescent="0.3">
      <c r="A45" s="19" t="s">
        <v>38</v>
      </c>
      <c r="B45" s="20">
        <v>0.03</v>
      </c>
    </row>
    <row r="46" spans="1:2" x14ac:dyDescent="0.3">
      <c r="A46" s="5" t="s">
        <v>39</v>
      </c>
      <c r="B46" s="12">
        <v>0.06</v>
      </c>
    </row>
    <row r="47" spans="1:2" x14ac:dyDescent="0.3">
      <c r="A47" s="19" t="s">
        <v>40</v>
      </c>
      <c r="B47" s="20">
        <v>0.25</v>
      </c>
    </row>
    <row r="48" spans="1:2" x14ac:dyDescent="0.3">
      <c r="A48" s="5" t="s">
        <v>41</v>
      </c>
      <c r="B48" s="12">
        <v>0.09</v>
      </c>
    </row>
    <row r="49" spans="1:2" x14ac:dyDescent="0.3">
      <c r="A49" s="19" t="s">
        <v>42</v>
      </c>
      <c r="B49" s="21">
        <v>45</v>
      </c>
    </row>
    <row r="50" spans="1:2" x14ac:dyDescent="0.3">
      <c r="A50" s="5" t="s">
        <v>43</v>
      </c>
      <c r="B50" s="13">
        <v>40</v>
      </c>
    </row>
    <row r="51" spans="1:2" x14ac:dyDescent="0.3">
      <c r="A51" s="19" t="s">
        <v>44</v>
      </c>
      <c r="B51" s="21">
        <v>35</v>
      </c>
    </row>
    <row r="52" spans="1:2" x14ac:dyDescent="0.3">
      <c r="A52" s="5" t="s">
        <v>45</v>
      </c>
      <c r="B52" s="12">
        <v>0.2</v>
      </c>
    </row>
    <row r="54" spans="1:2" x14ac:dyDescent="0.3">
      <c r="A54" s="6"/>
    </row>
    <row r="55" spans="1:2" x14ac:dyDescent="0.3">
      <c r="A55" s="6"/>
    </row>
    <row r="56" spans="1:2" x14ac:dyDescent="0.3">
      <c r="A56" s="6"/>
    </row>
    <row r="58" spans="1:2" ht="16.2" x14ac:dyDescent="0.35">
      <c r="A58" s="23" t="s">
        <v>86</v>
      </c>
      <c r="B58" s="24">
        <v>95.87</v>
      </c>
    </row>
    <row r="59" spans="1:2" ht="16.2" x14ac:dyDescent="0.35">
      <c r="A59" s="8"/>
      <c r="B59" s="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topLeftCell="A13" zoomScaleNormal="100" workbookViewId="0">
      <selection activeCell="B26" sqref="B26"/>
    </sheetView>
  </sheetViews>
  <sheetFormatPr defaultColWidth="8.6640625" defaultRowHeight="15.6" x14ac:dyDescent="0.3"/>
  <cols>
    <col min="1" max="1" width="72.77734375" style="9" bestFit="1" customWidth="1"/>
    <col min="2" max="7" width="13" style="9" customWidth="1"/>
    <col min="8" max="16384" width="8.6640625" style="9"/>
  </cols>
  <sheetData>
    <row r="1" spans="1:7" ht="21.75" customHeight="1" x14ac:dyDescent="0.3">
      <c r="A1" s="33" t="s">
        <v>88</v>
      </c>
      <c r="B1" s="33"/>
      <c r="C1" s="33"/>
      <c r="D1" s="33"/>
      <c r="E1" s="33"/>
      <c r="F1" s="33"/>
      <c r="G1" s="33"/>
    </row>
    <row r="3" spans="1:7" x14ac:dyDescent="0.3">
      <c r="A3" s="25"/>
    </row>
    <row r="6" spans="1:7" x14ac:dyDescent="0.3">
      <c r="A6" s="30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31" t="s">
        <v>51</v>
      </c>
    </row>
    <row r="7" spans="1:7" x14ac:dyDescent="0.3">
      <c r="A7" s="5" t="s">
        <v>52</v>
      </c>
      <c r="B7" s="29">
        <f>'Income Statement'!E6</f>
        <v>673237.48800000013</v>
      </c>
      <c r="C7" s="29">
        <f>'Income Statement'!F6</f>
        <v>754025.98656000022</v>
      </c>
      <c r="D7" s="29">
        <f>'Income Statement'!G6</f>
        <v>844509.10494720028</v>
      </c>
      <c r="E7" s="29">
        <f>'Income Statement'!H6</f>
        <v>945850.19754086435</v>
      </c>
      <c r="F7" s="29">
        <f>'Income Statement'!I6</f>
        <v>1059352.2212457682</v>
      </c>
    </row>
    <row r="8" spans="1:7" x14ac:dyDescent="0.3">
      <c r="A8" s="34" t="s">
        <v>53</v>
      </c>
      <c r="B8" s="35">
        <f>'Income Statement'!E7</f>
        <v>403942.49280000007</v>
      </c>
      <c r="C8" s="35">
        <f>'Income Statement'!F7</f>
        <v>452415.5919360001</v>
      </c>
      <c r="D8" s="35">
        <f>'Income Statement'!G7</f>
        <v>506705.46296832012</v>
      </c>
      <c r="E8" s="35">
        <f>'Income Statement'!H7</f>
        <v>567510.11852451856</v>
      </c>
      <c r="F8" s="35">
        <f>'Income Statement'!I7</f>
        <v>635611.33274746093</v>
      </c>
    </row>
    <row r="9" spans="1:7" x14ac:dyDescent="0.3">
      <c r="A9" s="5" t="s">
        <v>54</v>
      </c>
      <c r="B9" s="29">
        <f>B7/365*'Raw Data'!$B$49</f>
        <v>83001.882082191805</v>
      </c>
      <c r="C9" s="29">
        <f>C7/365*'Raw Data'!$B$49</f>
        <v>92962.107932054816</v>
      </c>
      <c r="D9" s="29">
        <f>D7/365*'Raw Data'!$B$49</f>
        <v>104117.56088390142</v>
      </c>
      <c r="E9" s="29">
        <f>E7/365*'Raw Data'!$B$49</f>
        <v>116611.66818996958</v>
      </c>
      <c r="F9" s="29">
        <f>F7/365*'Raw Data'!$B$49</f>
        <v>130605.06837276595</v>
      </c>
    </row>
    <row r="10" spans="1:7" x14ac:dyDescent="0.3">
      <c r="A10" s="34" t="s">
        <v>55</v>
      </c>
      <c r="B10" s="35">
        <f>B8/365*'Raw Data'!$B$50</f>
        <v>44267.670443835625</v>
      </c>
      <c r="C10" s="35">
        <f>C8/365*'Raw Data'!$B$50</f>
        <v>49579.790897095896</v>
      </c>
      <c r="D10" s="35">
        <f>D8/365*'Raw Data'!$B$50</f>
        <v>55529.365804747416</v>
      </c>
      <c r="E10" s="35">
        <f>E8/365*'Raw Data'!$B$50</f>
        <v>62192.889701317101</v>
      </c>
      <c r="F10" s="35">
        <f>F8/365*'Raw Data'!$B$50</f>
        <v>69656.036465475176</v>
      </c>
    </row>
    <row r="11" spans="1:7" x14ac:dyDescent="0.3">
      <c r="A11" s="5" t="s">
        <v>56</v>
      </c>
      <c r="B11" s="29">
        <f>B8/365*'Raw Data'!$B$51</f>
        <v>38734.211638356173</v>
      </c>
      <c r="C11" s="29">
        <f>C8/365*'Raw Data'!$B$51</f>
        <v>43382.317034958913</v>
      </c>
      <c r="D11" s="29">
        <f>D8/365*'Raw Data'!$B$51</f>
        <v>48588.195079153986</v>
      </c>
      <c r="E11" s="29">
        <f>E8/365*'Raw Data'!$B$51</f>
        <v>54418.778488652461</v>
      </c>
      <c r="F11" s="29">
        <f>F8/365*'Raw Data'!$B$51</f>
        <v>60949.031907290773</v>
      </c>
    </row>
    <row r="12" spans="1:7" x14ac:dyDescent="0.3">
      <c r="B12" s="28"/>
      <c r="C12" s="28"/>
      <c r="D12" s="28"/>
      <c r="E12" s="28"/>
      <c r="F12" s="28"/>
    </row>
    <row r="13" spans="1:7" x14ac:dyDescent="0.3">
      <c r="B13" s="28"/>
      <c r="C13" s="28"/>
      <c r="D13" s="28"/>
      <c r="E13" s="28"/>
      <c r="F13" s="28"/>
    </row>
    <row r="14" spans="1:7" x14ac:dyDescent="0.3">
      <c r="A14" s="30" t="s">
        <v>57</v>
      </c>
      <c r="B14" s="32" t="s">
        <v>47</v>
      </c>
      <c r="C14" s="32" t="s">
        <v>48</v>
      </c>
      <c r="D14" s="32" t="s">
        <v>49</v>
      </c>
      <c r="E14" s="32" t="s">
        <v>50</v>
      </c>
      <c r="F14" s="32" t="s">
        <v>51</v>
      </c>
    </row>
    <row r="15" spans="1:7" x14ac:dyDescent="0.3">
      <c r="A15" s="5" t="s">
        <v>58</v>
      </c>
      <c r="B15" s="29">
        <f>'Balance Sheet'!B11</f>
        <v>268436</v>
      </c>
      <c r="C15" s="29">
        <f>B17</f>
        <v>308830.24927999999</v>
      </c>
      <c r="D15" s="29">
        <f>C17</f>
        <v>354071.80847360002</v>
      </c>
      <c r="E15" s="29">
        <f>D17</f>
        <v>404742.35477043205</v>
      </c>
      <c r="F15" s="29">
        <f>E17</f>
        <v>461493.36662288394</v>
      </c>
    </row>
    <row r="16" spans="1:7" x14ac:dyDescent="0.3">
      <c r="A16" s="34" t="s">
        <v>59</v>
      </c>
      <c r="B16" s="35">
        <f>'Income Statement'!E6*'Raw Data'!$B$46</f>
        <v>40394.249280000004</v>
      </c>
      <c r="C16" s="35">
        <f>'Income Statement'!F6*'Raw Data'!$B$46</f>
        <v>45241.559193600013</v>
      </c>
      <c r="D16" s="35">
        <f>'Income Statement'!G6*'Raw Data'!$B$46</f>
        <v>50670.546296832013</v>
      </c>
      <c r="E16" s="35">
        <f>'Income Statement'!H6*'Raw Data'!$B$46</f>
        <v>56751.011852451862</v>
      </c>
      <c r="F16" s="35">
        <f>'Income Statement'!I6*'Raw Data'!$B$46</f>
        <v>63561.133274746091</v>
      </c>
    </row>
    <row r="17" spans="1:6" x14ac:dyDescent="0.3">
      <c r="A17" s="5" t="s">
        <v>60</v>
      </c>
      <c r="B17" s="29">
        <f>B15+B16</f>
        <v>308830.24927999999</v>
      </c>
      <c r="C17" s="29">
        <f>C15+C16</f>
        <v>354071.80847360002</v>
      </c>
      <c r="D17" s="29">
        <f>D15+D16</f>
        <v>404742.35477043205</v>
      </c>
      <c r="E17" s="29">
        <f>E15+E16</f>
        <v>461493.36662288394</v>
      </c>
      <c r="F17" s="29">
        <f>F15+F16</f>
        <v>525054.49989763007</v>
      </c>
    </row>
    <row r="18" spans="1:6" x14ac:dyDescent="0.3">
      <c r="A18" s="34" t="s">
        <v>61</v>
      </c>
      <c r="B18" s="35">
        <f>'Balance Sheet'!B12</f>
        <v>86283</v>
      </c>
      <c r="C18" s="35">
        <f>B20</f>
        <v>106480.12463999999</v>
      </c>
      <c r="D18" s="35">
        <f>C20</f>
        <v>129100.90423680001</v>
      </c>
      <c r="E18" s="35">
        <f>D20</f>
        <v>154436.17738521603</v>
      </c>
      <c r="F18" s="35">
        <f>E20</f>
        <v>182811.68331144197</v>
      </c>
    </row>
    <row r="19" spans="1:6" x14ac:dyDescent="0.3">
      <c r="A19" s="5" t="s">
        <v>62</v>
      </c>
      <c r="B19" s="29">
        <f>'Income Statement'!E11</f>
        <v>20197.124640000002</v>
      </c>
      <c r="C19" s="29">
        <f>'Income Statement'!F11</f>
        <v>22620.779596800006</v>
      </c>
      <c r="D19" s="29">
        <f>'Income Statement'!G11</f>
        <v>25335.273148416007</v>
      </c>
      <c r="E19" s="29">
        <f>'Income Statement'!H11</f>
        <v>28375.505926225931</v>
      </c>
      <c r="F19" s="29">
        <f>'Income Statement'!I11</f>
        <v>31780.566637373046</v>
      </c>
    </row>
    <row r="20" spans="1:6" x14ac:dyDescent="0.3">
      <c r="A20" s="34" t="s">
        <v>63</v>
      </c>
      <c r="B20" s="35">
        <f>B18+B19</f>
        <v>106480.12463999999</v>
      </c>
      <c r="C20" s="35">
        <f>C18+C19</f>
        <v>129100.90423680001</v>
      </c>
      <c r="D20" s="35">
        <f>D18+D19</f>
        <v>154436.17738521603</v>
      </c>
      <c r="E20" s="35">
        <f>E18+E19</f>
        <v>182811.68331144197</v>
      </c>
      <c r="F20" s="35">
        <f>F18+F19</f>
        <v>214592.24994881501</v>
      </c>
    </row>
    <row r="21" spans="1:6" x14ac:dyDescent="0.3">
      <c r="A21" s="5" t="s">
        <v>64</v>
      </c>
      <c r="B21" s="29">
        <f>B17-B20</f>
        <v>202350.12463999999</v>
      </c>
      <c r="C21" s="29">
        <f>C17-C20</f>
        <v>224970.90423680001</v>
      </c>
      <c r="D21" s="29">
        <f>D17-D20</f>
        <v>250306.17738521603</v>
      </c>
      <c r="E21" s="29">
        <f>E17-E20</f>
        <v>278681.68331144197</v>
      </c>
      <c r="F21" s="29">
        <f>F17-F20</f>
        <v>310462.24994881509</v>
      </c>
    </row>
    <row r="22" spans="1:6" x14ac:dyDescent="0.3">
      <c r="B22" s="28"/>
      <c r="C22" s="28"/>
      <c r="D22" s="28"/>
      <c r="E22" s="28"/>
      <c r="F22" s="28"/>
    </row>
    <row r="23" spans="1:6" x14ac:dyDescent="0.3">
      <c r="B23" s="28"/>
      <c r="C23" s="28"/>
      <c r="D23" s="28"/>
      <c r="E23" s="28"/>
      <c r="F23" s="28"/>
    </row>
    <row r="24" spans="1:6" x14ac:dyDescent="0.3">
      <c r="A24" s="30" t="s">
        <v>65</v>
      </c>
      <c r="B24" s="32" t="s">
        <v>47</v>
      </c>
      <c r="C24" s="32" t="s">
        <v>48</v>
      </c>
      <c r="D24" s="32" t="s">
        <v>49</v>
      </c>
      <c r="E24" s="32" t="s">
        <v>50</v>
      </c>
      <c r="F24" s="32" t="s">
        <v>51</v>
      </c>
    </row>
    <row r="25" spans="1:6" x14ac:dyDescent="0.3">
      <c r="A25" s="5" t="s">
        <v>66</v>
      </c>
      <c r="B25" s="29">
        <f>'Balance Sheet'!B16+'Balance Sheet'!B19</f>
        <v>105457</v>
      </c>
      <c r="C25" s="29">
        <f>B28</f>
        <v>105457</v>
      </c>
      <c r="D25" s="29">
        <f>C28</f>
        <v>105457</v>
      </c>
      <c r="E25" s="29">
        <f>D28</f>
        <v>105457</v>
      </c>
      <c r="F25" s="29">
        <f>E28</f>
        <v>105457</v>
      </c>
    </row>
    <row r="26" spans="1:6" x14ac:dyDescent="0.3">
      <c r="A26" s="34" t="s">
        <v>67</v>
      </c>
      <c r="B26" s="35">
        <f>0</f>
        <v>0</v>
      </c>
      <c r="C26" s="35">
        <f>0</f>
        <v>0</v>
      </c>
      <c r="D26" s="35">
        <f>0</f>
        <v>0</v>
      </c>
      <c r="E26" s="35">
        <f>0</f>
        <v>0</v>
      </c>
      <c r="F26" s="35">
        <f>0</f>
        <v>0</v>
      </c>
    </row>
    <row r="27" spans="1:6" x14ac:dyDescent="0.3">
      <c r="A27" s="5" t="s">
        <v>68</v>
      </c>
      <c r="B27" s="29">
        <f>0</f>
        <v>0</v>
      </c>
      <c r="C27" s="29">
        <f>0</f>
        <v>0</v>
      </c>
      <c r="D27" s="29">
        <f>0</f>
        <v>0</v>
      </c>
      <c r="E27" s="29">
        <f>0</f>
        <v>0</v>
      </c>
      <c r="F27" s="29">
        <f>0</f>
        <v>0</v>
      </c>
    </row>
    <row r="28" spans="1:6" x14ac:dyDescent="0.3">
      <c r="A28" s="34" t="s">
        <v>69</v>
      </c>
      <c r="B28" s="35">
        <f>B25+B26-B27</f>
        <v>105457</v>
      </c>
      <c r="C28" s="35">
        <f>C25+C26-C27</f>
        <v>105457</v>
      </c>
      <c r="D28" s="35">
        <f>D25+D26-D27</f>
        <v>105457</v>
      </c>
      <c r="E28" s="35">
        <f>E25+E26-E27</f>
        <v>105457</v>
      </c>
      <c r="F28" s="35">
        <f>F25+F26-F27</f>
        <v>105457</v>
      </c>
    </row>
    <row r="29" spans="1:6" x14ac:dyDescent="0.3">
      <c r="A29" s="5" t="s">
        <v>70</v>
      </c>
      <c r="B29" s="29">
        <f>B25*'Raw Data'!$B$48</f>
        <v>9491.1299999999992</v>
      </c>
      <c r="C29" s="29">
        <f>C25*'Raw Data'!$B$48</f>
        <v>9491.1299999999992</v>
      </c>
      <c r="D29" s="29">
        <f>D25*'Raw Data'!$B$48</f>
        <v>9491.1299999999992</v>
      </c>
      <c r="E29" s="29">
        <f>E25*'Raw Data'!$B$48</f>
        <v>9491.1299999999992</v>
      </c>
      <c r="F29" s="29">
        <f>F25*'Raw Data'!$B$48</f>
        <v>9491.1299999999992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zoomScaleNormal="100" workbookViewId="0">
      <selection activeCell="J5" sqref="J5"/>
    </sheetView>
  </sheetViews>
  <sheetFormatPr defaultColWidth="8.6640625" defaultRowHeight="15.6" x14ac:dyDescent="0.3"/>
  <cols>
    <col min="1" max="1" width="15.44140625" style="1" bestFit="1" customWidth="1"/>
    <col min="2" max="8" width="11.5546875" style="1" bestFit="1" customWidth="1"/>
    <col min="9" max="9" width="12.6640625" style="1" bestFit="1" customWidth="1"/>
    <col min="10" max="16384" width="8.6640625" style="1"/>
  </cols>
  <sheetData>
    <row r="1" spans="1:9" ht="21.75" customHeight="1" x14ac:dyDescent="0.3">
      <c r="A1" s="36" t="s">
        <v>91</v>
      </c>
      <c r="B1" s="36"/>
      <c r="C1" s="36"/>
      <c r="D1" s="36"/>
      <c r="E1" s="36"/>
      <c r="F1" s="36"/>
      <c r="G1" s="36"/>
      <c r="H1" s="36"/>
      <c r="I1" s="36"/>
    </row>
    <row r="3" spans="1:9" x14ac:dyDescent="0.3">
      <c r="A3" s="2"/>
    </row>
    <row r="5" spans="1:9" x14ac:dyDescent="0.3">
      <c r="A5" s="37"/>
      <c r="B5" s="37" t="s">
        <v>1</v>
      </c>
      <c r="C5" s="37" t="s">
        <v>2</v>
      </c>
      <c r="D5" s="37" t="s">
        <v>3</v>
      </c>
      <c r="E5" s="37" t="s">
        <v>47</v>
      </c>
      <c r="F5" s="37" t="s">
        <v>48</v>
      </c>
      <c r="G5" s="37" t="s">
        <v>49</v>
      </c>
      <c r="H5" s="37" t="s">
        <v>50</v>
      </c>
      <c r="I5" s="37" t="s">
        <v>51</v>
      </c>
    </row>
    <row r="6" spans="1:9" x14ac:dyDescent="0.3">
      <c r="A6" s="5" t="s">
        <v>4</v>
      </c>
      <c r="B6" s="29">
        <f>'Raw Data'!B7</f>
        <v>479350</v>
      </c>
      <c r="C6" s="29">
        <f>'Raw Data'!C7</f>
        <v>536872</v>
      </c>
      <c r="D6" s="29">
        <f>'Raw Data'!D7</f>
        <v>601104.9</v>
      </c>
      <c r="E6" s="29">
        <f>D6*(1+'Raw Data'!$B$42)</f>
        <v>673237.48800000013</v>
      </c>
      <c r="F6" s="29">
        <f>E6*(1+'Raw Data'!$B$42)</f>
        <v>754025.98656000022</v>
      </c>
      <c r="G6" s="29">
        <f>F6*(1+'Raw Data'!$B$42)</f>
        <v>844509.10494720028</v>
      </c>
      <c r="H6" s="29">
        <f>G6*(1+'Raw Data'!$B$42)</f>
        <v>945850.19754086435</v>
      </c>
      <c r="I6" s="29">
        <f>H6*(1+'Raw Data'!$B$42)</f>
        <v>1059352.2212457682</v>
      </c>
    </row>
    <row r="7" spans="1:9" x14ac:dyDescent="0.3">
      <c r="A7" s="38" t="s">
        <v>5</v>
      </c>
      <c r="B7" s="39">
        <f>'Raw Data'!B8</f>
        <v>287610</v>
      </c>
      <c r="C7" s="39">
        <f>'Raw Data'!C8</f>
        <v>322123.2</v>
      </c>
      <c r="D7" s="39">
        <f>'Raw Data'!D8</f>
        <v>360662.94</v>
      </c>
      <c r="E7" s="39">
        <f>E6*'Raw Data'!$B$43</f>
        <v>403942.49280000007</v>
      </c>
      <c r="F7" s="39">
        <f>F6*'Raw Data'!$B$43</f>
        <v>452415.5919360001</v>
      </c>
      <c r="G7" s="39">
        <f>G6*'Raw Data'!$B$43</f>
        <v>506705.46296832012</v>
      </c>
      <c r="H7" s="39">
        <f>H6*'Raw Data'!$B$43</f>
        <v>567510.11852451856</v>
      </c>
      <c r="I7" s="39">
        <f>I6*'Raw Data'!$B$43</f>
        <v>635611.33274746093</v>
      </c>
    </row>
    <row r="8" spans="1:9" x14ac:dyDescent="0.3">
      <c r="A8" s="5" t="s">
        <v>6</v>
      </c>
      <c r="B8" s="29">
        <f>'Raw Data'!B9</f>
        <v>191740</v>
      </c>
      <c r="C8" s="29">
        <f>'Raw Data'!C9</f>
        <v>214748.80000000002</v>
      </c>
      <c r="D8" s="29">
        <f>'Raw Data'!D9</f>
        <v>240441.96000000002</v>
      </c>
      <c r="E8" s="29">
        <f>E6-E7</f>
        <v>269294.99520000006</v>
      </c>
      <c r="F8" s="29">
        <f>F6-F7</f>
        <v>301610.39462400012</v>
      </c>
      <c r="G8" s="29">
        <f>G6-G7</f>
        <v>337803.64197888016</v>
      </c>
      <c r="H8" s="29">
        <f>H6-H7</f>
        <v>378340.07901634579</v>
      </c>
      <c r="I8" s="29">
        <f>I6-I7</f>
        <v>423740.88849830732</v>
      </c>
    </row>
    <row r="9" spans="1:9" x14ac:dyDescent="0.3">
      <c r="A9" s="38" t="s">
        <v>7</v>
      </c>
      <c r="B9" s="39">
        <f>'Raw Data'!B10</f>
        <v>95870</v>
      </c>
      <c r="C9" s="39">
        <f>'Raw Data'!C10</f>
        <v>107374.40000000001</v>
      </c>
      <c r="D9" s="39">
        <f>'Raw Data'!D10</f>
        <v>120220.98000000001</v>
      </c>
      <c r="E9" s="39">
        <f>E6*'Raw Data'!$B$44</f>
        <v>134647.49760000003</v>
      </c>
      <c r="F9" s="39">
        <f>F6*'Raw Data'!$B$44</f>
        <v>150805.19731200006</v>
      </c>
      <c r="G9" s="39">
        <f>G6*'Raw Data'!$B$44</f>
        <v>168901.82098944008</v>
      </c>
      <c r="H9" s="39">
        <f>H6*'Raw Data'!$B$44</f>
        <v>189170.03950817289</v>
      </c>
      <c r="I9" s="39">
        <f>I6*'Raw Data'!$B$44</f>
        <v>211870.44424915366</v>
      </c>
    </row>
    <row r="10" spans="1:9" x14ac:dyDescent="0.3">
      <c r="A10" s="5" t="s">
        <v>8</v>
      </c>
      <c r="B10" s="29">
        <f>'Raw Data'!B11</f>
        <v>95870</v>
      </c>
      <c r="C10" s="29">
        <f>'Raw Data'!C11</f>
        <v>107374.40000000001</v>
      </c>
      <c r="D10" s="29">
        <f>'Raw Data'!D11</f>
        <v>120220.98000000001</v>
      </c>
      <c r="E10" s="29">
        <f>E8-E9</f>
        <v>134647.49760000003</v>
      </c>
      <c r="F10" s="29">
        <f>F8-F9</f>
        <v>150805.19731200006</v>
      </c>
      <c r="G10" s="29">
        <f>G8-G9</f>
        <v>168901.82098944008</v>
      </c>
      <c r="H10" s="29">
        <f>H8-H9</f>
        <v>189170.03950817289</v>
      </c>
      <c r="I10" s="29">
        <f>I8-I9</f>
        <v>211870.44424915366</v>
      </c>
    </row>
    <row r="11" spans="1:9" x14ac:dyDescent="0.3">
      <c r="A11" s="38" t="s">
        <v>9</v>
      </c>
      <c r="B11" s="39">
        <f>'Raw Data'!B12</f>
        <v>14380.5</v>
      </c>
      <c r="C11" s="39">
        <f>'Raw Data'!C12</f>
        <v>15818.550000000001</v>
      </c>
      <c r="D11" s="39">
        <f>'Raw Data'!D12</f>
        <v>17256.600000000002</v>
      </c>
      <c r="E11" s="39">
        <f>E6*'Raw Data'!$B$45</f>
        <v>20197.124640000002</v>
      </c>
      <c r="F11" s="39">
        <f>F6*'Raw Data'!$B$45</f>
        <v>22620.779596800006</v>
      </c>
      <c r="G11" s="39">
        <f>G6*'Raw Data'!$B$45</f>
        <v>25335.273148416007</v>
      </c>
      <c r="H11" s="39">
        <f>H6*'Raw Data'!$B$45</f>
        <v>28375.505926225931</v>
      </c>
      <c r="I11" s="39">
        <f>I6*'Raw Data'!$B$45</f>
        <v>31780.566637373046</v>
      </c>
    </row>
    <row r="12" spans="1:9" x14ac:dyDescent="0.3">
      <c r="A12" s="5" t="s">
        <v>10</v>
      </c>
      <c r="B12" s="29">
        <f>'Raw Data'!B13</f>
        <v>81489.5</v>
      </c>
      <c r="C12" s="29">
        <f>'Raw Data'!C13</f>
        <v>91555.85</v>
      </c>
      <c r="D12" s="29">
        <f>'Raw Data'!D13</f>
        <v>102964.38</v>
      </c>
      <c r="E12" s="29">
        <f>E10-E11</f>
        <v>114450.37296000004</v>
      </c>
      <c r="F12" s="29">
        <f>F10-F11</f>
        <v>128184.41771520005</v>
      </c>
      <c r="G12" s="29">
        <f>G10-G11</f>
        <v>143566.54784102406</v>
      </c>
      <c r="H12" s="29">
        <f>H10-H11</f>
        <v>160794.53358194698</v>
      </c>
      <c r="I12" s="29">
        <f>I10-I11</f>
        <v>180089.87761178063</v>
      </c>
    </row>
    <row r="13" spans="1:9" x14ac:dyDescent="0.3">
      <c r="A13" s="38" t="s">
        <v>11</v>
      </c>
      <c r="B13" s="39">
        <f>'Raw Data'!B14</f>
        <v>7669.6</v>
      </c>
      <c r="C13" s="39">
        <f>'Raw Data'!C14</f>
        <v>8148.9500000000007</v>
      </c>
      <c r="D13" s="39">
        <f>'Raw Data'!D14</f>
        <v>8628.3000000000011</v>
      </c>
      <c r="E13" s="39">
        <f>Schedules!B29</f>
        <v>9491.1299999999992</v>
      </c>
      <c r="F13" s="39">
        <f>Schedules!C29</f>
        <v>9491.1299999999992</v>
      </c>
      <c r="G13" s="39">
        <f>Schedules!D29</f>
        <v>9491.1299999999992</v>
      </c>
      <c r="H13" s="39">
        <f>Schedules!E29</f>
        <v>9491.1299999999992</v>
      </c>
      <c r="I13" s="39">
        <f>Schedules!F29</f>
        <v>9491.1299999999992</v>
      </c>
    </row>
    <row r="14" spans="1:9" x14ac:dyDescent="0.3">
      <c r="A14" s="5" t="s">
        <v>12</v>
      </c>
      <c r="B14" s="29">
        <f>'Raw Data'!B15</f>
        <v>73819.900000000009</v>
      </c>
      <c r="C14" s="29">
        <f>'Raw Data'!C15</f>
        <v>83406.900000000009</v>
      </c>
      <c r="D14" s="29">
        <f>'Raw Data'!D15</f>
        <v>94336.08</v>
      </c>
      <c r="E14" s="29">
        <f>E12-E13</f>
        <v>104959.24296000003</v>
      </c>
      <c r="F14" s="29">
        <f>F12-F13</f>
        <v>118693.28771520004</v>
      </c>
      <c r="G14" s="29">
        <f>G12-G13</f>
        <v>134075.41784102406</v>
      </c>
      <c r="H14" s="29">
        <f>H12-H13</f>
        <v>151303.40358194697</v>
      </c>
      <c r="I14" s="29">
        <f>I12-I13</f>
        <v>170598.74761178062</v>
      </c>
    </row>
    <row r="15" spans="1:9" x14ac:dyDescent="0.3">
      <c r="A15" s="38" t="s">
        <v>71</v>
      </c>
      <c r="B15" s="39">
        <f>'Raw Data'!B16</f>
        <v>18454.975000000002</v>
      </c>
      <c r="C15" s="39">
        <f>'Raw Data'!C16</f>
        <v>20851.725000000002</v>
      </c>
      <c r="D15" s="39">
        <f>'Raw Data'!D16</f>
        <v>23584.02</v>
      </c>
      <c r="E15" s="39">
        <f>E14*'Raw Data'!$B$47</f>
        <v>26239.810740000008</v>
      </c>
      <c r="F15" s="39">
        <f>F14*'Raw Data'!$B$47</f>
        <v>29673.321928800011</v>
      </c>
      <c r="G15" s="39">
        <f>G14*'Raw Data'!$B$47</f>
        <v>33518.854460256014</v>
      </c>
      <c r="H15" s="39">
        <f>H14*'Raw Data'!$B$47</f>
        <v>37825.850895486743</v>
      </c>
      <c r="I15" s="39">
        <f>I14*'Raw Data'!$B$47</f>
        <v>42649.686902945155</v>
      </c>
    </row>
    <row r="16" spans="1:9" x14ac:dyDescent="0.3">
      <c r="A16" s="5" t="s">
        <v>14</v>
      </c>
      <c r="B16" s="29">
        <f>'Raw Data'!B17</f>
        <v>55364.925000000003</v>
      </c>
      <c r="C16" s="29">
        <f>'Raw Data'!C17</f>
        <v>62555.175000000003</v>
      </c>
      <c r="D16" s="29">
        <f>'Raw Data'!D17</f>
        <v>70752.06</v>
      </c>
      <c r="E16" s="29">
        <f>E14-E15</f>
        <v>78719.432220000017</v>
      </c>
      <c r="F16" s="29">
        <f>F14-F15</f>
        <v>89019.965786400033</v>
      </c>
      <c r="G16" s="29">
        <f>G14-G15</f>
        <v>100556.56338076804</v>
      </c>
      <c r="H16" s="29">
        <f>H14-H15</f>
        <v>113477.55268646023</v>
      </c>
      <c r="I16" s="29">
        <f>I14-I15</f>
        <v>127949.06070883546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topLeftCell="A7" zoomScaleNormal="100" workbookViewId="0">
      <selection activeCell="I22" sqref="I22"/>
    </sheetView>
  </sheetViews>
  <sheetFormatPr defaultColWidth="8.6640625" defaultRowHeight="15.6" x14ac:dyDescent="0.3"/>
  <cols>
    <col min="1" max="1" width="30" style="9" customWidth="1"/>
    <col min="2" max="7" width="12" style="9" customWidth="1"/>
    <col min="8" max="16384" width="8.6640625" style="9"/>
  </cols>
  <sheetData>
    <row r="1" spans="1:7" ht="21.75" customHeight="1" x14ac:dyDescent="0.3">
      <c r="A1" s="41" t="s">
        <v>92</v>
      </c>
      <c r="B1" s="41"/>
      <c r="C1" s="41"/>
      <c r="D1" s="41"/>
      <c r="E1" s="41"/>
      <c r="F1" s="41"/>
      <c r="G1" s="41"/>
    </row>
    <row r="3" spans="1:7" x14ac:dyDescent="0.3">
      <c r="A3" s="25"/>
    </row>
    <row r="5" spans="1:7" x14ac:dyDescent="0.3">
      <c r="A5" s="42"/>
      <c r="B5" s="42" t="s">
        <v>3</v>
      </c>
      <c r="C5" s="42" t="s">
        <v>47</v>
      </c>
      <c r="D5" s="42" t="s">
        <v>48</v>
      </c>
      <c r="E5" s="42" t="s">
        <v>49</v>
      </c>
      <c r="F5" s="42" t="s">
        <v>50</v>
      </c>
      <c r="G5" s="42" t="s">
        <v>51</v>
      </c>
    </row>
    <row r="6" spans="1:7" x14ac:dyDescent="0.3">
      <c r="A6" s="5" t="s">
        <v>15</v>
      </c>
      <c r="B6" s="40">
        <f>'Raw Data'!B21</f>
        <v>43141.5</v>
      </c>
      <c r="C6" s="40">
        <f>'Cash Flow Statement'!B19</f>
        <v>75997.980248328749</v>
      </c>
      <c r="D6" s="40">
        <f>'Cash Flow Statement'!C19</f>
        <v>113968.93237412821</v>
      </c>
      <c r="E6" s="40">
        <f>'Cash Flow Statement'!D19</f>
        <v>157179.76011502359</v>
      </c>
      <c r="F6" s="40">
        <f>'Cash Flow Statement'!E19</f>
        <v>206259.24854482646</v>
      </c>
      <c r="G6" s="40">
        <f>'Cash Flow Statement'!F19</f>
        <v>261911.63694620566</v>
      </c>
    </row>
    <row r="7" spans="1:7" x14ac:dyDescent="0.3">
      <c r="A7" s="5" t="s">
        <v>16</v>
      </c>
      <c r="B7" s="40">
        <f>'Raw Data'!B22</f>
        <v>73819.900000000009</v>
      </c>
      <c r="C7" s="40">
        <f>Schedules!B9</f>
        <v>83001.882082191805</v>
      </c>
      <c r="D7" s="40">
        <f>Schedules!C9</f>
        <v>92962.107932054816</v>
      </c>
      <c r="E7" s="40">
        <f>Schedules!D9</f>
        <v>104117.56088390142</v>
      </c>
      <c r="F7" s="40">
        <f>Schedules!E9</f>
        <v>116611.66818996958</v>
      </c>
      <c r="G7" s="40">
        <f>Schedules!F9</f>
        <v>130605.06837276595</v>
      </c>
    </row>
    <row r="8" spans="1:7" x14ac:dyDescent="0.3">
      <c r="A8" s="5" t="s">
        <v>17</v>
      </c>
      <c r="B8" s="40">
        <f>'Raw Data'!B23</f>
        <v>39306.700000000004</v>
      </c>
      <c r="C8" s="40">
        <f>Schedules!B10</f>
        <v>44267.670443835625</v>
      </c>
      <c r="D8" s="40">
        <f>Schedules!C10</f>
        <v>49579.790897095896</v>
      </c>
      <c r="E8" s="40">
        <f>Schedules!D10</f>
        <v>55529.365804747416</v>
      </c>
      <c r="F8" s="40">
        <f>Schedules!E10</f>
        <v>62192.889701317101</v>
      </c>
      <c r="G8" s="40">
        <f>Schedules!F10</f>
        <v>69656.036465475176</v>
      </c>
    </row>
    <row r="9" spans="1:7" x14ac:dyDescent="0.3">
      <c r="A9" s="5" t="s">
        <v>18</v>
      </c>
      <c r="B9" s="40">
        <f>'Raw Data'!B24</f>
        <v>11504.400000000001</v>
      </c>
      <c r="C9" s="40">
        <f>$B9</f>
        <v>11504.400000000001</v>
      </c>
      <c r="D9" s="40">
        <f>C9</f>
        <v>11504.400000000001</v>
      </c>
      <c r="E9" s="40">
        <f>D9</f>
        <v>11504.400000000001</v>
      </c>
      <c r="F9" s="40">
        <f>E9</f>
        <v>11504.400000000001</v>
      </c>
      <c r="G9" s="40">
        <f>F9</f>
        <v>11504.400000000001</v>
      </c>
    </row>
    <row r="10" spans="1:7" x14ac:dyDescent="0.3">
      <c r="A10" s="43" t="s">
        <v>19</v>
      </c>
      <c r="B10" s="44">
        <f>'Raw Data'!B25</f>
        <v>167772.5</v>
      </c>
      <c r="C10" s="44">
        <f>SUM(C6:C9)</f>
        <v>214771.93277435619</v>
      </c>
      <c r="D10" s="44">
        <f>SUM(D6:D9)</f>
        <v>268015.23120327893</v>
      </c>
      <c r="E10" s="44">
        <f>SUM(E6:E9)</f>
        <v>328331.08680367249</v>
      </c>
      <c r="F10" s="44">
        <f>SUM(F6:F9)</f>
        <v>396568.20643611316</v>
      </c>
      <c r="G10" s="44">
        <f>SUM(G6:G9)</f>
        <v>473677.14178444678</v>
      </c>
    </row>
    <row r="11" spans="1:7" x14ac:dyDescent="0.3">
      <c r="A11" s="5" t="s">
        <v>20</v>
      </c>
      <c r="B11" s="40">
        <f>'Raw Data'!B26</f>
        <v>268436</v>
      </c>
      <c r="C11" s="40">
        <f>Schedules!B17</f>
        <v>308830.24927999999</v>
      </c>
      <c r="D11" s="40">
        <f>Schedules!C17</f>
        <v>354071.80847360002</v>
      </c>
      <c r="E11" s="40">
        <f>Schedules!D17</f>
        <v>404742.35477043205</v>
      </c>
      <c r="F11" s="40">
        <f>Schedules!E17</f>
        <v>461493.36662288394</v>
      </c>
      <c r="G11" s="40">
        <f>Schedules!F17</f>
        <v>525054.49989763007</v>
      </c>
    </row>
    <row r="12" spans="1:7" x14ac:dyDescent="0.3">
      <c r="A12" s="5" t="s">
        <v>21</v>
      </c>
      <c r="B12" s="40">
        <f>'Raw Data'!B27</f>
        <v>86283</v>
      </c>
      <c r="C12" s="40">
        <f>Schedules!B20</f>
        <v>106480.12463999999</v>
      </c>
      <c r="D12" s="40">
        <f>Schedules!C20</f>
        <v>129100.90423680001</v>
      </c>
      <c r="E12" s="40">
        <f>Schedules!D20</f>
        <v>154436.17738521603</v>
      </c>
      <c r="F12" s="40">
        <f>Schedules!E20</f>
        <v>182811.68331144197</v>
      </c>
      <c r="G12" s="40">
        <f>Schedules!F20</f>
        <v>214592.24994881501</v>
      </c>
    </row>
    <row r="13" spans="1:7" x14ac:dyDescent="0.3">
      <c r="A13" s="5" t="s">
        <v>22</v>
      </c>
      <c r="B13" s="40">
        <f>'Raw Data'!B28</f>
        <v>182153</v>
      </c>
      <c r="C13" s="40">
        <f>C11-C12</f>
        <v>202350.12463999999</v>
      </c>
      <c r="D13" s="40">
        <f>D11-D12</f>
        <v>224970.90423680001</v>
      </c>
      <c r="E13" s="40">
        <f>E11-E12</f>
        <v>250306.17738521603</v>
      </c>
      <c r="F13" s="40">
        <f>F11-F12</f>
        <v>278681.68331144197</v>
      </c>
      <c r="G13" s="40">
        <f>G11-G12</f>
        <v>310462.24994881509</v>
      </c>
    </row>
    <row r="14" spans="1:7" x14ac:dyDescent="0.3">
      <c r="A14" s="43" t="s">
        <v>23</v>
      </c>
      <c r="B14" s="44">
        <f>'Raw Data'!B29</f>
        <v>349925.5</v>
      </c>
      <c r="C14" s="44">
        <f>C10+C13</f>
        <v>417122.05741435615</v>
      </c>
      <c r="D14" s="44">
        <f>D10+D13</f>
        <v>492986.13544007891</v>
      </c>
      <c r="E14" s="44">
        <f>E10+E13</f>
        <v>578637.26418888848</v>
      </c>
      <c r="F14" s="44">
        <f>F10+F13</f>
        <v>675249.88974755513</v>
      </c>
      <c r="G14" s="44">
        <f>G10+G13</f>
        <v>784139.39173326187</v>
      </c>
    </row>
    <row r="15" spans="1:7" x14ac:dyDescent="0.3">
      <c r="A15" s="5" t="s">
        <v>24</v>
      </c>
      <c r="B15" s="40">
        <f>'Raw Data'!B30</f>
        <v>34513.200000000004</v>
      </c>
      <c r="C15" s="40">
        <f>Schedules!B11</f>
        <v>38734.211638356173</v>
      </c>
      <c r="D15" s="40">
        <f>Schedules!C11</f>
        <v>43382.317034958913</v>
      </c>
      <c r="E15" s="40">
        <f>Schedules!D11</f>
        <v>48588.195079153986</v>
      </c>
      <c r="F15" s="40">
        <f>Schedules!E11</f>
        <v>54418.778488652461</v>
      </c>
      <c r="G15" s="40">
        <f>Schedules!F11</f>
        <v>60949.031907290773</v>
      </c>
    </row>
    <row r="16" spans="1:7" x14ac:dyDescent="0.3">
      <c r="A16" s="5" t="s">
        <v>25</v>
      </c>
      <c r="B16" s="40">
        <f>'Raw Data'!B31</f>
        <v>19174</v>
      </c>
      <c r="C16" s="40">
        <f>$B16</f>
        <v>19174</v>
      </c>
      <c r="D16" s="40">
        <f>C16</f>
        <v>19174</v>
      </c>
      <c r="E16" s="40">
        <f>D16</f>
        <v>19174</v>
      </c>
      <c r="F16" s="40">
        <f>E16</f>
        <v>19174</v>
      </c>
      <c r="G16" s="40">
        <f>F16</f>
        <v>19174</v>
      </c>
    </row>
    <row r="17" spans="1:7" x14ac:dyDescent="0.3">
      <c r="A17" s="5" t="s">
        <v>26</v>
      </c>
      <c r="B17" s="40">
        <f>'Raw Data'!B32</f>
        <v>14380.5</v>
      </c>
      <c r="C17" s="40">
        <f>$B17</f>
        <v>14380.5</v>
      </c>
      <c r="D17" s="40">
        <f>C17</f>
        <v>14380.5</v>
      </c>
      <c r="E17" s="40">
        <f>D17</f>
        <v>14380.5</v>
      </c>
      <c r="F17" s="40">
        <f>E17</f>
        <v>14380.5</v>
      </c>
      <c r="G17" s="40">
        <f>F17</f>
        <v>14380.5</v>
      </c>
    </row>
    <row r="18" spans="1:7" x14ac:dyDescent="0.3">
      <c r="A18" s="43" t="s">
        <v>27</v>
      </c>
      <c r="B18" s="44">
        <f>'Raw Data'!B33</f>
        <v>68067.7</v>
      </c>
      <c r="C18" s="44">
        <f>SUM(C15:C17)</f>
        <v>72288.711638356181</v>
      </c>
      <c r="D18" s="44">
        <f>SUM(D15:D17)</f>
        <v>76936.81703495892</v>
      </c>
      <c r="E18" s="44">
        <f>SUM(E15:E17)</f>
        <v>82142.695079153986</v>
      </c>
      <c r="F18" s="44">
        <f>SUM(F15:F17)</f>
        <v>87973.278488652461</v>
      </c>
      <c r="G18" s="44">
        <f>SUM(G15:G17)</f>
        <v>94503.531907290773</v>
      </c>
    </row>
    <row r="19" spans="1:7" x14ac:dyDescent="0.3">
      <c r="A19" s="5" t="s">
        <v>28</v>
      </c>
      <c r="B19" s="40">
        <f>'Raw Data'!B34</f>
        <v>86283</v>
      </c>
      <c r="C19" s="40">
        <f>$B19</f>
        <v>86283</v>
      </c>
      <c r="D19" s="40">
        <f>C19</f>
        <v>86283</v>
      </c>
      <c r="E19" s="40">
        <f>D19</f>
        <v>86283</v>
      </c>
      <c r="F19" s="40">
        <f>E19</f>
        <v>86283</v>
      </c>
      <c r="G19" s="40">
        <f>F19</f>
        <v>86283</v>
      </c>
    </row>
    <row r="20" spans="1:7" x14ac:dyDescent="0.3">
      <c r="A20" s="43" t="s">
        <v>29</v>
      </c>
      <c r="B20" s="44">
        <f>'Raw Data'!B35</f>
        <v>154350.70000000001</v>
      </c>
      <c r="C20" s="44">
        <f>C18+C19</f>
        <v>158571.71163835618</v>
      </c>
      <c r="D20" s="44">
        <f>D18+D19</f>
        <v>163219.81703495892</v>
      </c>
      <c r="E20" s="44">
        <f>E18+E19</f>
        <v>168425.69507915399</v>
      </c>
      <c r="F20" s="44">
        <f>F18+F19</f>
        <v>174256.27848865246</v>
      </c>
      <c r="G20" s="44">
        <f>G18+G19</f>
        <v>180786.53190729077</v>
      </c>
    </row>
    <row r="21" spans="1:7" x14ac:dyDescent="0.3">
      <c r="A21" s="5" t="s">
        <v>30</v>
      </c>
      <c r="B21" s="40">
        <f>'Raw Data'!B36</f>
        <v>47935</v>
      </c>
      <c r="C21" s="40">
        <f>$B21</f>
        <v>47935</v>
      </c>
      <c r="D21" s="40">
        <f>C21</f>
        <v>47935</v>
      </c>
      <c r="E21" s="40">
        <f>D21</f>
        <v>47935</v>
      </c>
      <c r="F21" s="40">
        <f>E21</f>
        <v>47935</v>
      </c>
      <c r="G21" s="40">
        <f>F21</f>
        <v>47935</v>
      </c>
    </row>
    <row r="22" spans="1:7" x14ac:dyDescent="0.3">
      <c r="A22" s="5" t="s">
        <v>31</v>
      </c>
      <c r="B22" s="40">
        <f>'Raw Data'!B37</f>
        <v>147639.80000000002</v>
      </c>
      <c r="C22" s="40">
        <f>B22+'Income Statement'!E16-'Cash Flow Statement'!B14</f>
        <v>210615.34577600003</v>
      </c>
      <c r="D22" s="40">
        <f>C22+'Income Statement'!F16-'Cash Flow Statement'!C14</f>
        <v>281831.31840512005</v>
      </c>
      <c r="E22" s="40">
        <f>D22+'Income Statement'!G16-'Cash Flow Statement'!D14</f>
        <v>362276.5691097345</v>
      </c>
      <c r="F22" s="40">
        <f>E22+'Income Statement'!H16-'Cash Flow Statement'!E14</f>
        <v>453058.61125890265</v>
      </c>
      <c r="G22" s="40">
        <f>F22+'Income Statement'!I16-'Cash Flow Statement'!F14</f>
        <v>555417.85982597095</v>
      </c>
    </row>
    <row r="23" spans="1:7" x14ac:dyDescent="0.3">
      <c r="A23" s="43" t="s">
        <v>32</v>
      </c>
      <c r="B23" s="44">
        <f>'Raw Data'!B38</f>
        <v>195574.80000000002</v>
      </c>
      <c r="C23" s="44">
        <f>C21+C22</f>
        <v>258550.34577600003</v>
      </c>
      <c r="D23" s="44">
        <f>D21+D22</f>
        <v>329766.31840512005</v>
      </c>
      <c r="E23" s="44">
        <f>E21+E22</f>
        <v>410211.5691097345</v>
      </c>
      <c r="F23" s="44">
        <f>F21+F22</f>
        <v>500993.61125890265</v>
      </c>
      <c r="G23" s="44">
        <f>G21+G22</f>
        <v>603352.85982597095</v>
      </c>
    </row>
    <row r="24" spans="1:7" x14ac:dyDescent="0.3">
      <c r="A24" s="7" t="s">
        <v>72</v>
      </c>
      <c r="B24" s="40">
        <f>'Raw Data'!B39</f>
        <v>349925.5</v>
      </c>
      <c r="C24" s="40">
        <f>C20+C23</f>
        <v>417122.05741435621</v>
      </c>
      <c r="D24" s="40">
        <f>D20+D23</f>
        <v>492986.13544007897</v>
      </c>
      <c r="E24" s="40">
        <f>E20+E23</f>
        <v>578637.26418888848</v>
      </c>
      <c r="F24" s="40">
        <f>F20+F23</f>
        <v>675249.88974755513</v>
      </c>
      <c r="G24" s="40">
        <f>G20+G23</f>
        <v>784139.39173326176</v>
      </c>
    </row>
    <row r="25" spans="1:7" x14ac:dyDescent="0.3">
      <c r="A25" s="43" t="s">
        <v>73</v>
      </c>
      <c r="B25" s="45">
        <f>B14-B20</f>
        <v>195574.8</v>
      </c>
      <c r="C25" s="45">
        <f t="shared" ref="C25:G25" si="0">C14-C20</f>
        <v>258550.34577599997</v>
      </c>
      <c r="D25" s="45">
        <f t="shared" si="0"/>
        <v>329766.31840511999</v>
      </c>
      <c r="E25" s="45">
        <f t="shared" si="0"/>
        <v>410211.5691097345</v>
      </c>
      <c r="F25" s="45">
        <f t="shared" si="0"/>
        <v>500993.6112589027</v>
      </c>
      <c r="G25" s="45">
        <f t="shared" si="0"/>
        <v>603352.85982597107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tabSelected="1" zoomScaleNormal="100" workbookViewId="0">
      <selection activeCell="I18" sqref="I18"/>
    </sheetView>
  </sheetViews>
  <sheetFormatPr defaultColWidth="8.6640625" defaultRowHeight="15.6" x14ac:dyDescent="0.3"/>
  <cols>
    <col min="1" max="1" width="40.77734375" style="9" bestFit="1" customWidth="1"/>
    <col min="2" max="2" width="11.44140625" style="9" bestFit="1" customWidth="1"/>
    <col min="3" max="6" width="13" style="9" customWidth="1"/>
    <col min="7" max="16384" width="8.6640625" style="9"/>
  </cols>
  <sheetData>
    <row r="1" spans="1:6" ht="21.75" customHeight="1" x14ac:dyDescent="0.3">
      <c r="A1" s="46" t="s">
        <v>87</v>
      </c>
      <c r="B1" s="46"/>
      <c r="C1" s="46"/>
      <c r="D1" s="46"/>
      <c r="E1" s="46"/>
      <c r="F1" s="46"/>
    </row>
    <row r="3" spans="1:6" x14ac:dyDescent="0.3">
      <c r="A3" s="25"/>
    </row>
    <row r="5" spans="1:6" x14ac:dyDescent="0.3">
      <c r="A5" s="47"/>
      <c r="B5" s="47" t="s">
        <v>47</v>
      </c>
      <c r="C5" s="47" t="s">
        <v>48</v>
      </c>
      <c r="D5" s="47" t="s">
        <v>49</v>
      </c>
      <c r="E5" s="47" t="s">
        <v>50</v>
      </c>
      <c r="F5" s="47" t="s">
        <v>51</v>
      </c>
    </row>
    <row r="6" spans="1:6" x14ac:dyDescent="0.3">
      <c r="A6" s="9" t="s">
        <v>14</v>
      </c>
      <c r="B6" s="27">
        <f>'Income Statement'!E16</f>
        <v>78719.432220000017</v>
      </c>
      <c r="C6" s="27">
        <f>'Income Statement'!F16</f>
        <v>89019.965786400033</v>
      </c>
      <c r="D6" s="27">
        <f>'Income Statement'!G16</f>
        <v>100556.56338076804</v>
      </c>
      <c r="E6" s="27">
        <f>'Income Statement'!H16</f>
        <v>113477.55268646023</v>
      </c>
      <c r="F6" s="27">
        <f>'Income Statement'!I16</f>
        <v>127949.06070883546</v>
      </c>
    </row>
    <row r="7" spans="1:6" x14ac:dyDescent="0.3">
      <c r="A7" s="9" t="s">
        <v>62</v>
      </c>
      <c r="B7" s="27">
        <f>'Income Statement'!E11</f>
        <v>20197.124640000002</v>
      </c>
      <c r="C7" s="27">
        <f>'Income Statement'!F11</f>
        <v>22620.779596800006</v>
      </c>
      <c r="D7" s="27">
        <f>'Income Statement'!G11</f>
        <v>25335.273148416007</v>
      </c>
      <c r="E7" s="27">
        <f>'Income Statement'!H11</f>
        <v>28375.505926225931</v>
      </c>
      <c r="F7" s="27">
        <f>'Income Statement'!I11</f>
        <v>31780.566637373046</v>
      </c>
    </row>
    <row r="8" spans="1:6" x14ac:dyDescent="0.3">
      <c r="A8" s="9" t="s">
        <v>74</v>
      </c>
      <c r="B8" s="27">
        <f>'Balance Sheet'!C7-'Balance Sheet'!B7</f>
        <v>9181.9820821917965</v>
      </c>
      <c r="C8" s="27">
        <f>'Balance Sheet'!D7-'Balance Sheet'!C7</f>
        <v>9960.2258498630108</v>
      </c>
      <c r="D8" s="27">
        <f>'Balance Sheet'!E7-'Balance Sheet'!D7</f>
        <v>11155.452951846601</v>
      </c>
      <c r="E8" s="27">
        <f>'Balance Sheet'!F7-'Balance Sheet'!E7</f>
        <v>12494.107306068167</v>
      </c>
      <c r="F8" s="27">
        <f>'Balance Sheet'!G7-'Balance Sheet'!F7</f>
        <v>13993.400182796366</v>
      </c>
    </row>
    <row r="9" spans="1:6" x14ac:dyDescent="0.3">
      <c r="A9" s="9" t="s">
        <v>75</v>
      </c>
      <c r="B9" s="27">
        <f>'Balance Sheet'!C8-'Balance Sheet'!B8</f>
        <v>4960.9704438356202</v>
      </c>
      <c r="C9" s="27">
        <f>'Balance Sheet'!D8-'Balance Sheet'!C8</f>
        <v>5312.1204532602715</v>
      </c>
      <c r="D9" s="27">
        <f>'Balance Sheet'!E8-'Balance Sheet'!D8</f>
        <v>5949.5749076515203</v>
      </c>
      <c r="E9" s="27">
        <f>'Balance Sheet'!F8-'Balance Sheet'!E8</f>
        <v>6663.5238965696844</v>
      </c>
      <c r="F9" s="27">
        <f>'Balance Sheet'!G8-'Balance Sheet'!F8</f>
        <v>7463.1467641580748</v>
      </c>
    </row>
    <row r="10" spans="1:6" x14ac:dyDescent="0.3">
      <c r="A10" s="9" t="s">
        <v>76</v>
      </c>
      <c r="B10" s="27">
        <f>'Balance Sheet'!C15-'Balance Sheet'!B15</f>
        <v>4221.011638356169</v>
      </c>
      <c r="C10" s="27">
        <f>'Balance Sheet'!D15-'Balance Sheet'!C15</f>
        <v>4648.1053966027393</v>
      </c>
      <c r="D10" s="27">
        <f>'Balance Sheet'!E15-'Balance Sheet'!D15</f>
        <v>5205.878044195073</v>
      </c>
      <c r="E10" s="27">
        <f>'Balance Sheet'!F15-'Balance Sheet'!E15</f>
        <v>5830.5834094984748</v>
      </c>
      <c r="F10" s="27">
        <f>'Balance Sheet'!G15-'Balance Sheet'!F15</f>
        <v>6530.2534186383127</v>
      </c>
    </row>
    <row r="11" spans="1:6" x14ac:dyDescent="0.3">
      <c r="A11" s="48" t="s">
        <v>77</v>
      </c>
      <c r="B11" s="49">
        <f>B6+B7-B8-B9+B10</f>
        <v>88994.615972328756</v>
      </c>
      <c r="C11" s="49">
        <f>C6+C7-C8-C9+C10</f>
        <v>101016.50447667949</v>
      </c>
      <c r="D11" s="49">
        <f>D6+D7-D8-D9+D10</f>
        <v>113992.686713881</v>
      </c>
      <c r="E11" s="49">
        <f>E6+E7-E8-E9+E10</f>
        <v>128526.01081954679</v>
      </c>
      <c r="F11" s="49">
        <f>F6+F7-F8-F9+F10</f>
        <v>144803.33381789239</v>
      </c>
    </row>
    <row r="12" spans="1:6" x14ac:dyDescent="0.3">
      <c r="A12" s="9" t="s">
        <v>78</v>
      </c>
      <c r="B12" s="27">
        <f>Schedules!B16</f>
        <v>40394.249280000004</v>
      </c>
      <c r="C12" s="27">
        <f>Schedules!C16</f>
        <v>45241.559193600013</v>
      </c>
      <c r="D12" s="27">
        <f>Schedules!D16</f>
        <v>50670.546296832013</v>
      </c>
      <c r="E12" s="27">
        <f>Schedules!E16</f>
        <v>56751.011852451862</v>
      </c>
      <c r="F12" s="27">
        <f>Schedules!F16</f>
        <v>63561.133274746091</v>
      </c>
    </row>
    <row r="13" spans="1:6" x14ac:dyDescent="0.3">
      <c r="A13" s="26" t="s">
        <v>79</v>
      </c>
      <c r="B13" s="27">
        <f>-B12</f>
        <v>-40394.249280000004</v>
      </c>
      <c r="C13" s="27">
        <f>-C12</f>
        <v>-45241.559193600013</v>
      </c>
      <c r="D13" s="27">
        <f>-D12</f>
        <v>-50670.546296832013</v>
      </c>
      <c r="E13" s="27">
        <f>-E12</f>
        <v>-56751.011852451862</v>
      </c>
      <c r="F13" s="27">
        <f>-F12</f>
        <v>-63561.133274746091</v>
      </c>
    </row>
    <row r="14" spans="1:6" x14ac:dyDescent="0.3">
      <c r="A14" s="9" t="s">
        <v>80</v>
      </c>
      <c r="B14" s="27">
        <f>B6*'Raw Data'!$B$52</f>
        <v>15743.886444000003</v>
      </c>
      <c r="C14" s="27">
        <f>C6*'Raw Data'!$B$52</f>
        <v>17803.993157280009</v>
      </c>
      <c r="D14" s="27">
        <f>D6*'Raw Data'!$B$52</f>
        <v>20111.312676153611</v>
      </c>
      <c r="E14" s="27">
        <f>E6*'Raw Data'!$B$52</f>
        <v>22695.510537292048</v>
      </c>
      <c r="F14" s="27">
        <f>F6*'Raw Data'!$B$52</f>
        <v>25589.812141767092</v>
      </c>
    </row>
    <row r="15" spans="1:6" x14ac:dyDescent="0.3">
      <c r="A15" s="9" t="s">
        <v>81</v>
      </c>
      <c r="B15" s="27">
        <f>Schedules!B26-Schedules!B27</f>
        <v>0</v>
      </c>
      <c r="C15" s="27">
        <f>Schedules!C26-Schedules!C27</f>
        <v>0</v>
      </c>
      <c r="D15" s="27">
        <f>Schedules!D26-Schedules!D27</f>
        <v>0</v>
      </c>
      <c r="E15" s="27">
        <f>Schedules!E26-Schedules!E27</f>
        <v>0</v>
      </c>
      <c r="F15" s="27">
        <f>Schedules!F26-Schedules!F27</f>
        <v>0</v>
      </c>
    </row>
    <row r="16" spans="1:6" x14ac:dyDescent="0.3">
      <c r="A16" s="26" t="s">
        <v>82</v>
      </c>
      <c r="B16" s="27">
        <f>-B14+B15</f>
        <v>-15743.886444000003</v>
      </c>
      <c r="C16" s="27">
        <f>-C14+C15</f>
        <v>-17803.993157280009</v>
      </c>
      <c r="D16" s="27">
        <f>-D14+D15</f>
        <v>-20111.312676153611</v>
      </c>
      <c r="E16" s="27">
        <f>-E14+E15</f>
        <v>-22695.510537292048</v>
      </c>
      <c r="F16" s="27">
        <f>-F14+F15</f>
        <v>-25589.812141767092</v>
      </c>
    </row>
    <row r="17" spans="1:6" x14ac:dyDescent="0.3">
      <c r="A17" s="48" t="s">
        <v>83</v>
      </c>
      <c r="B17" s="50">
        <f>B11+B13+B16</f>
        <v>32856.480248328749</v>
      </c>
      <c r="C17" s="50">
        <f>C11+C13+C16</f>
        <v>37970.952125799464</v>
      </c>
      <c r="D17" s="50">
        <f>D11+D13+D16</f>
        <v>43210.82774089538</v>
      </c>
      <c r="E17" s="50">
        <f>E11+E13+E16</f>
        <v>49079.488429802877</v>
      </c>
      <c r="F17" s="50">
        <f>F11+F13+F16</f>
        <v>55652.388401379198</v>
      </c>
    </row>
    <row r="18" spans="1:6" x14ac:dyDescent="0.3">
      <c r="A18" s="9" t="s">
        <v>84</v>
      </c>
      <c r="B18" s="27">
        <f>'Balance Sheet'!B6</f>
        <v>43141.5</v>
      </c>
      <c r="C18" s="27">
        <f>'Balance Sheet'!C6</f>
        <v>75997.980248328749</v>
      </c>
      <c r="D18" s="27">
        <f>'Balance Sheet'!D6</f>
        <v>113968.93237412821</v>
      </c>
      <c r="E18" s="27">
        <f>'Balance Sheet'!E6</f>
        <v>157179.76011502359</v>
      </c>
      <c r="F18" s="27">
        <f>'Balance Sheet'!F6</f>
        <v>206259.24854482646</v>
      </c>
    </row>
    <row r="19" spans="1:6" x14ac:dyDescent="0.3">
      <c r="A19" s="48" t="s">
        <v>85</v>
      </c>
      <c r="B19" s="50">
        <f>B17+B18</f>
        <v>75997.980248328749</v>
      </c>
      <c r="C19" s="50">
        <f>C17+C18</f>
        <v>113968.93237412821</v>
      </c>
      <c r="D19" s="50">
        <f>D17+D18</f>
        <v>157179.76011502359</v>
      </c>
      <c r="E19" s="50">
        <f>E17+E18</f>
        <v>206259.24854482646</v>
      </c>
      <c r="F19" s="50">
        <f>F17+F18</f>
        <v>261911.63694620566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Schedules</vt:lpstr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2026-08-15T16:53:15Z</dcterms:created>
  <dcterms:modified xsi:type="dcterms:W3CDTF">2026-09-15T06:06:43Z</dcterms:modified>
  <dc:language>en-US</dc:language>
</cp:coreProperties>
</file>